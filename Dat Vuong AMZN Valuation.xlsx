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8"/>
  <workbookPr/>
  <mc:AlternateContent xmlns:mc="http://schemas.openxmlformats.org/markup-compatibility/2006">
    <mc:Choice Requires="x15">
      <x15ac:absPath xmlns:x15ac="http://schemas.microsoft.com/office/spreadsheetml/2010/11/ac" url="/Users/datvuong/Downloads/"/>
    </mc:Choice>
  </mc:AlternateContent>
  <xr:revisionPtr revIDLastSave="0" documentId="13_ncr:1_{62C2EFA1-9D29-C747-A7D9-32F3A1CA3EE0}" xr6:coauthVersionLast="47" xr6:coauthVersionMax="47" xr10:uidLastSave="{00000000-0000-0000-0000-000000000000}"/>
  <bookViews>
    <workbookView xWindow="0" yWindow="740" windowWidth="29400" windowHeight="18380" tabRatio="790" firstSheet="8" activeTab="17" xr2:uid="{27A683AA-E7C1-42D0-90F9-7712A45BB9C9}"/>
  </bookViews>
  <sheets>
    <sheet name="Assumptions" sheetId="2" r:id="rId1"/>
    <sheet name="1a. Historical Beta" sheetId="30" r:id="rId2"/>
    <sheet name="Comps List" sheetId="7" r:id="rId3"/>
    <sheet name="1b. Comps Analysis" sheetId="17" r:id="rId4"/>
    <sheet name="1c. Sector Based Comps Analysis" sheetId="28" r:id="rId5"/>
    <sheet name="2. Calculating Cost of Equity" sheetId="29" r:id="rId6"/>
    <sheet name="US Rev Multiplies" sheetId="3" r:id="rId7"/>
    <sheet name="Global Rev Multiplies" sheetId="4" r:id="rId8"/>
    <sheet name="MRP Historical" sheetId="5" r:id="rId9"/>
    <sheet name="MRP Scenario Analysis" sheetId="6" r:id="rId10"/>
    <sheet name="TEGNA Equity Beta" sheetId="10" state="hidden" r:id="rId11"/>
    <sheet name="AMZN Equity Beta" sheetId="20" r:id="rId12"/>
    <sheet name="COST Equity Beta" sheetId="27" r:id="rId13"/>
    <sheet name="MSFT Equity Beta" sheetId="21" r:id="rId14"/>
    <sheet name="ORCL Equity Beta" sheetId="22" r:id="rId15"/>
    <sheet name="WMT Equity Beta" sheetId="23" r:id="rId16"/>
    <sheet name="MELI Equity Beta" sheetId="24" r:id="rId17"/>
    <sheet name="BABA Equity Beta" sheetId="26" r:id="rId18"/>
    <sheet name="NXST Comp Equity Beta" sheetId="12" state="hidden" r:id="rId19"/>
    <sheet name="GTN Comp Equity Beta" sheetId="13" state="hidden" r:id="rId20"/>
    <sheet name="SGBI Comp Equity Beta" sheetId="15" state="hidden" r:id="rId21"/>
    <sheet name="SSB Comp Equity Beta" sheetId="16" state="hidden" r:id="rId22"/>
  </sheets>
  <definedNames>
    <definedName name="amznbeta">'AMZN Equity Beta'!$H$2:$H$2</definedName>
    <definedName name="amznse">'AMZN Equity Beta'!$H$3:$H$3</definedName>
    <definedName name="beta1b">'1b. Comps Analysis'!$B$25:$B$25</definedName>
    <definedName name="beta1c">'1c. Sector Based Comps Analysis'!$B$42:$B$42</definedName>
    <definedName name="MRP">'MRP Historical'!$F$12</definedName>
    <definedName name="MRPSE">'MRP Historical'!$F$15</definedName>
    <definedName name="RF">Assumptions!$B$12:$B$12</definedName>
    <definedName name="Scalar">Assumptions!$B$45</definedName>
    <definedName name="SMRP">'2. Calculating Cost of Equity'!$B$15:$B$15</definedName>
    <definedName name="SMRPH">'2. Calculating Cost of Equity'!$B$17:$B$17</definedName>
    <definedName name="SMRPL">'2. Calculating Cost of Equity'!$B$16:$B$16</definedName>
  </definedNames>
  <calcPr calcId="191028"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29" l="1"/>
  <c r="B49" i="29" s="1" a="1"/>
  <c r="B49" i="29" s="1"/>
  <c r="B9" i="29"/>
  <c r="B40" i="29" s="1"/>
  <c r="B38" i="28"/>
  <c r="C36" i="28" s="1"/>
  <c r="I24" i="28"/>
  <c r="I23" i="28"/>
  <c r="G23" i="28"/>
  <c r="H23" i="28" s="1"/>
  <c r="J23" i="28" s="1"/>
  <c r="G24" i="28"/>
  <c r="H24" i="28" s="1"/>
  <c r="J24" i="28" s="1"/>
  <c r="D24" i="28"/>
  <c r="D23" i="28"/>
  <c r="I30" i="28"/>
  <c r="G30" i="28"/>
  <c r="H30" i="28" s="1"/>
  <c r="D30" i="28"/>
  <c r="I18" i="28"/>
  <c r="G18" i="28"/>
  <c r="H18" i="28" s="1"/>
  <c r="D18" i="28"/>
  <c r="I17" i="28"/>
  <c r="G17" i="28"/>
  <c r="H17" i="28" s="1"/>
  <c r="J17" i="28" s="1"/>
  <c r="D17" i="28"/>
  <c r="I12" i="28"/>
  <c r="G12" i="28"/>
  <c r="H12" i="28" s="1"/>
  <c r="D12" i="28"/>
  <c r="I11" i="28"/>
  <c r="G11" i="28"/>
  <c r="H11" i="28" s="1"/>
  <c r="D11" i="28"/>
  <c r="I20" i="17"/>
  <c r="G20" i="17"/>
  <c r="H20" i="17" s="1"/>
  <c r="D20" i="17"/>
  <c r="I13" i="17"/>
  <c r="I14" i="17"/>
  <c r="I15" i="17"/>
  <c r="I12" i="17"/>
  <c r="G13" i="17"/>
  <c r="H13" i="17" s="1"/>
  <c r="J13" i="17" s="1"/>
  <c r="G14" i="17"/>
  <c r="H14" i="17" s="1"/>
  <c r="G15" i="17"/>
  <c r="H15" i="17" s="1"/>
  <c r="J15" i="17" s="1"/>
  <c r="G12" i="17"/>
  <c r="H12" i="17" s="1"/>
  <c r="J12" i="17" s="1"/>
  <c r="D13" i="17"/>
  <c r="D14" i="17"/>
  <c r="D15" i="17"/>
  <c r="D12" i="17"/>
  <c r="E18" i="7"/>
  <c r="E17" i="7"/>
  <c r="H14" i="7"/>
  <c r="H26" i="7"/>
  <c r="B45" i="2"/>
  <c r="B16" i="29" s="1"/>
  <c r="B10" i="26" a="1"/>
  <c r="E10" i="26" a="1"/>
  <c r="D10" i="26" a="1"/>
  <c r="D10" i="24" a="1"/>
  <c r="B10" i="24" a="1"/>
  <c r="E10" i="24" a="1"/>
  <c r="B10" i="23" a="1"/>
  <c r="B10" i="27" a="1"/>
  <c r="E10" i="27" a="1"/>
  <c r="D10" i="23" a="1"/>
  <c r="E10" i="22" a="1"/>
  <c r="B10" i="22" a="1"/>
  <c r="D10" i="22" a="1"/>
  <c r="B10" i="21" a="1"/>
  <c r="E10" i="21" a="1"/>
  <c r="D10" i="21" a="1"/>
  <c r="B10" i="20" a="1"/>
  <c r="D10" i="20" a="1"/>
  <c r="E10" i="23" a="1"/>
  <c r="E10" i="20" a="1"/>
  <c r="D10" i="27" a="1"/>
  <c r="B10" i="29" l="1"/>
  <c r="B11" i="29"/>
  <c r="B17" i="29"/>
  <c r="B22" i="29"/>
  <c r="B31" i="29"/>
  <c r="B58" i="29" a="1"/>
  <c r="B58" i="29" s="1"/>
  <c r="B67" i="29" a="1"/>
  <c r="B67" i="29" s="1"/>
  <c r="C35" i="28"/>
  <c r="C37" i="28"/>
  <c r="J18" i="28"/>
  <c r="J11" i="28"/>
  <c r="J30" i="28"/>
  <c r="J12" i="28"/>
  <c r="H61" i="27"/>
  <c r="H45" i="27"/>
  <c r="H29" i="27"/>
  <c r="H13" i="27"/>
  <c r="H41" i="27"/>
  <c r="D10" i="27"/>
  <c r="H11" i="27" s="1"/>
  <c r="H64" i="27"/>
  <c r="H48" i="27"/>
  <c r="H32" i="27"/>
  <c r="H16" i="27"/>
  <c r="H22" i="27"/>
  <c r="H26" i="27"/>
  <c r="H67" i="27"/>
  <c r="H51" i="27"/>
  <c r="H35" i="27"/>
  <c r="H19" i="27"/>
  <c r="H36" i="27"/>
  <c r="H70" i="27"/>
  <c r="H54" i="27"/>
  <c r="H38" i="27"/>
  <c r="H57" i="27"/>
  <c r="H25" i="27"/>
  <c r="H42" i="27"/>
  <c r="H60" i="27"/>
  <c r="H44" i="27"/>
  <c r="H28" i="27"/>
  <c r="H12" i="27"/>
  <c r="H40" i="27"/>
  <c r="H14" i="27"/>
  <c r="H39" i="27"/>
  <c r="H63" i="27"/>
  <c r="H47" i="27"/>
  <c r="H31" i="27"/>
  <c r="H15" i="27"/>
  <c r="H49" i="27"/>
  <c r="H66" i="27"/>
  <c r="H50" i="27"/>
  <c r="H34" i="27"/>
  <c r="H18" i="27"/>
  <c r="H21" i="27"/>
  <c r="H30" i="27"/>
  <c r="H68" i="27"/>
  <c r="H58" i="27"/>
  <c r="H69" i="27"/>
  <c r="H53" i="27"/>
  <c r="H37" i="27"/>
  <c r="H24" i="27"/>
  <c r="H43" i="27"/>
  <c r="H46" i="27"/>
  <c r="H17" i="27"/>
  <c r="H55" i="27"/>
  <c r="H56" i="27"/>
  <c r="H27" i="27"/>
  <c r="H59" i="27"/>
  <c r="H52" i="27"/>
  <c r="H20" i="27"/>
  <c r="H23" i="27"/>
  <c r="H62" i="27"/>
  <c r="H65" i="27"/>
  <c r="H33" i="27"/>
  <c r="I64" i="27"/>
  <c r="I48" i="27"/>
  <c r="I32" i="27"/>
  <c r="I16" i="27"/>
  <c r="I19" i="27"/>
  <c r="I28" i="27"/>
  <c r="I42" i="27"/>
  <c r="I67" i="27"/>
  <c r="I51" i="27"/>
  <c r="I35" i="27"/>
  <c r="I12" i="27"/>
  <c r="E10" i="27"/>
  <c r="I11" i="27" s="1"/>
  <c r="I70" i="27"/>
  <c r="I54" i="27"/>
  <c r="I38" i="27"/>
  <c r="I22" i="27"/>
  <c r="I58" i="27"/>
  <c r="I57" i="27"/>
  <c r="I41" i="27"/>
  <c r="I25" i="27"/>
  <c r="I60" i="27"/>
  <c r="I44" i="27"/>
  <c r="I49" i="27"/>
  <c r="I36" i="27"/>
  <c r="I55" i="27"/>
  <c r="I63" i="27"/>
  <c r="I47" i="27"/>
  <c r="I31" i="27"/>
  <c r="I15" i="27"/>
  <c r="I23" i="27"/>
  <c r="I66" i="27"/>
  <c r="I50" i="27"/>
  <c r="I34" i="27"/>
  <c r="I18" i="27"/>
  <c r="I40" i="27"/>
  <c r="I33" i="27"/>
  <c r="I17" i="27"/>
  <c r="I45" i="27"/>
  <c r="I69" i="27"/>
  <c r="I53" i="27"/>
  <c r="I37" i="27"/>
  <c r="I21" i="27"/>
  <c r="I14" i="27"/>
  <c r="I20" i="27"/>
  <c r="I56" i="27"/>
  <c r="I24" i="27"/>
  <c r="I59" i="27"/>
  <c r="I43" i="27"/>
  <c r="I27" i="27"/>
  <c r="I39" i="27"/>
  <c r="I62" i="27"/>
  <c r="I46" i="27"/>
  <c r="I30" i="27"/>
  <c r="I65" i="27"/>
  <c r="I26" i="27"/>
  <c r="I68" i="27"/>
  <c r="I52" i="27"/>
  <c r="I29" i="27"/>
  <c r="I13" i="27"/>
  <c r="I61" i="27"/>
  <c r="G58" i="27"/>
  <c r="G42" i="27"/>
  <c r="G26" i="27"/>
  <c r="B10" i="27"/>
  <c r="G13" i="27"/>
  <c r="G65" i="27"/>
  <c r="G55" i="27"/>
  <c r="G61" i="27"/>
  <c r="G45" i="27"/>
  <c r="G29" i="27"/>
  <c r="G38" i="27"/>
  <c r="G22" i="27"/>
  <c r="G59" i="27"/>
  <c r="G49" i="27"/>
  <c r="G52" i="27"/>
  <c r="G20" i="27"/>
  <c r="G64" i="27"/>
  <c r="G48" i="27"/>
  <c r="G32" i="27"/>
  <c r="G16" i="27"/>
  <c r="G67" i="27"/>
  <c r="G51" i="27"/>
  <c r="G35" i="27"/>
  <c r="G19" i="27"/>
  <c r="G70" i="27"/>
  <c r="G54" i="27"/>
  <c r="G57" i="27"/>
  <c r="G41" i="27"/>
  <c r="G25" i="27"/>
  <c r="G15" i="27"/>
  <c r="G50" i="27"/>
  <c r="G21" i="27"/>
  <c r="G30" i="27"/>
  <c r="K30" i="27" s="1"/>
  <c r="G60" i="27"/>
  <c r="G44" i="27"/>
  <c r="G28" i="27"/>
  <c r="G12" i="27"/>
  <c r="G18" i="27"/>
  <c r="G37" i="27"/>
  <c r="G63" i="27"/>
  <c r="G47" i="27"/>
  <c r="G31" i="27"/>
  <c r="G34" i="27"/>
  <c r="G40" i="27"/>
  <c r="G11" i="27"/>
  <c r="G36" i="27"/>
  <c r="G66" i="27"/>
  <c r="G24" i="27"/>
  <c r="G17" i="27"/>
  <c r="G23" i="27"/>
  <c r="G69" i="27"/>
  <c r="G53" i="27"/>
  <c r="G43" i="27"/>
  <c r="G46" i="27"/>
  <c r="G56" i="27"/>
  <c r="G27" i="27"/>
  <c r="G14" i="27"/>
  <c r="G39" i="27"/>
  <c r="G62" i="27"/>
  <c r="G33" i="27"/>
  <c r="G68" i="27"/>
  <c r="H61" i="26"/>
  <c r="H45" i="26"/>
  <c r="H29" i="26"/>
  <c r="H13" i="26"/>
  <c r="H27" i="26"/>
  <c r="H30" i="26"/>
  <c r="H64" i="26"/>
  <c r="H48" i="26"/>
  <c r="H32" i="26"/>
  <c r="H16" i="26"/>
  <c r="H67" i="26"/>
  <c r="H51" i="26"/>
  <c r="H35" i="26"/>
  <c r="H19" i="26"/>
  <c r="H38" i="26"/>
  <c r="H65" i="26"/>
  <c r="H20" i="26"/>
  <c r="H70" i="26"/>
  <c r="H54" i="26"/>
  <c r="H22" i="26"/>
  <c r="H55" i="26"/>
  <c r="H42" i="26"/>
  <c r="H57" i="26"/>
  <c r="H41" i="26"/>
  <c r="H25" i="26"/>
  <c r="H49" i="26"/>
  <c r="H60" i="26"/>
  <c r="H44" i="26"/>
  <c r="H28" i="26"/>
  <c r="H12" i="26"/>
  <c r="H15" i="26"/>
  <c r="D10" i="26"/>
  <c r="H11" i="26" s="1"/>
  <c r="H26" i="26"/>
  <c r="H63" i="26"/>
  <c r="H47" i="26"/>
  <c r="H31" i="26"/>
  <c r="H34" i="26"/>
  <c r="H33" i="26"/>
  <c r="H17" i="26"/>
  <c r="H58" i="26"/>
  <c r="H66" i="26"/>
  <c r="H50" i="26"/>
  <c r="H18" i="26"/>
  <c r="H39" i="26"/>
  <c r="H69" i="26"/>
  <c r="H53" i="26"/>
  <c r="H37" i="26"/>
  <c r="H21" i="26"/>
  <c r="H24" i="26"/>
  <c r="H14" i="26"/>
  <c r="H56" i="26"/>
  <c r="H40" i="26"/>
  <c r="H59" i="26"/>
  <c r="H43" i="26"/>
  <c r="H36" i="26"/>
  <c r="H62" i="26"/>
  <c r="H46" i="26"/>
  <c r="H23" i="26"/>
  <c r="H68" i="26"/>
  <c r="H52" i="26"/>
  <c r="I64" i="26"/>
  <c r="I48" i="26"/>
  <c r="I32" i="26"/>
  <c r="I16" i="26"/>
  <c r="I22" i="26"/>
  <c r="I17" i="26"/>
  <c r="I45" i="26"/>
  <c r="I67" i="26"/>
  <c r="I51" i="26"/>
  <c r="I35" i="26"/>
  <c r="I19" i="26"/>
  <c r="I70" i="26"/>
  <c r="I54" i="26"/>
  <c r="I38" i="26"/>
  <c r="I25" i="26"/>
  <c r="I28" i="26"/>
  <c r="I57" i="26"/>
  <c r="I41" i="26"/>
  <c r="I39" i="26"/>
  <c r="I60" i="26"/>
  <c r="I44" i="26"/>
  <c r="I12" i="26"/>
  <c r="I63" i="26"/>
  <c r="I47" i="26"/>
  <c r="I31" i="26"/>
  <c r="I15" i="26"/>
  <c r="I66" i="26"/>
  <c r="I50" i="26"/>
  <c r="I34" i="26"/>
  <c r="I18" i="26"/>
  <c r="I21" i="26"/>
  <c r="I49" i="26"/>
  <c r="I55" i="26"/>
  <c r="I69" i="26"/>
  <c r="I53" i="26"/>
  <c r="I37" i="26"/>
  <c r="E10" i="26"/>
  <c r="I11" i="26" s="1"/>
  <c r="I56" i="26"/>
  <c r="I40" i="26"/>
  <c r="I24" i="26"/>
  <c r="I33" i="26"/>
  <c r="I42" i="26"/>
  <c r="I59" i="26"/>
  <c r="I43" i="26"/>
  <c r="I27" i="26"/>
  <c r="I14" i="26"/>
  <c r="I36" i="26"/>
  <c r="I20" i="26"/>
  <c r="I62" i="26"/>
  <c r="I46" i="26"/>
  <c r="I30" i="26"/>
  <c r="I52" i="26"/>
  <c r="I65" i="26"/>
  <c r="I58" i="26"/>
  <c r="I29" i="26"/>
  <c r="I68" i="26"/>
  <c r="I23" i="26"/>
  <c r="I26" i="26"/>
  <c r="I61" i="26"/>
  <c r="I13" i="26"/>
  <c r="G58" i="26"/>
  <c r="G42" i="26"/>
  <c r="G26" i="26"/>
  <c r="B10" i="26"/>
  <c r="G16" i="26"/>
  <c r="G14" i="26"/>
  <c r="G52" i="26"/>
  <c r="G61" i="26"/>
  <c r="G45" i="26"/>
  <c r="G29" i="26"/>
  <c r="G13" i="26"/>
  <c r="G19" i="26"/>
  <c r="G64" i="26"/>
  <c r="G48" i="26"/>
  <c r="G32" i="26"/>
  <c r="G67" i="26"/>
  <c r="G51" i="26"/>
  <c r="G35" i="26"/>
  <c r="G27" i="26"/>
  <c r="G46" i="26"/>
  <c r="G70" i="26"/>
  <c r="G54" i="26"/>
  <c r="G38" i="26"/>
  <c r="G22" i="26"/>
  <c r="G33" i="26"/>
  <c r="G20" i="26"/>
  <c r="G57" i="26"/>
  <c r="G41" i="26"/>
  <c r="G25" i="26"/>
  <c r="G12" i="26"/>
  <c r="G15" i="26"/>
  <c r="G43" i="26"/>
  <c r="G49" i="26"/>
  <c r="G68" i="26"/>
  <c r="G60" i="26"/>
  <c r="G44" i="26"/>
  <c r="G28" i="26"/>
  <c r="G63" i="26"/>
  <c r="G47" i="26"/>
  <c r="G31" i="26"/>
  <c r="G40" i="26"/>
  <c r="G62" i="26"/>
  <c r="G66" i="26"/>
  <c r="G50" i="26"/>
  <c r="G34" i="26"/>
  <c r="G18" i="26"/>
  <c r="G24" i="26"/>
  <c r="G17" i="26"/>
  <c r="G69" i="26"/>
  <c r="G53" i="26"/>
  <c r="G37" i="26"/>
  <c r="G21" i="26"/>
  <c r="G36" i="26"/>
  <c r="G55" i="26"/>
  <c r="G56" i="26"/>
  <c r="G39" i="26"/>
  <c r="G59" i="26"/>
  <c r="G11" i="26"/>
  <c r="G30" i="26"/>
  <c r="G23" i="26"/>
  <c r="G65" i="26"/>
  <c r="I64" i="24"/>
  <c r="I48" i="24"/>
  <c r="I32" i="24"/>
  <c r="I16" i="24"/>
  <c r="I54" i="24"/>
  <c r="I38" i="24"/>
  <c r="I22" i="24"/>
  <c r="I44" i="24"/>
  <c r="I28" i="24"/>
  <c r="I67" i="24"/>
  <c r="I51" i="24"/>
  <c r="I35" i="24"/>
  <c r="I19" i="24"/>
  <c r="I57" i="24"/>
  <c r="I41" i="24"/>
  <c r="I20" i="24"/>
  <c r="I61" i="24"/>
  <c r="I13" i="24"/>
  <c r="I70" i="24"/>
  <c r="I25" i="24"/>
  <c r="I55" i="24"/>
  <c r="I45" i="24"/>
  <c r="I60" i="24"/>
  <c r="I12" i="24"/>
  <c r="I15" i="24"/>
  <c r="I26" i="24"/>
  <c r="I63" i="24"/>
  <c r="I47" i="24"/>
  <c r="I31" i="24"/>
  <c r="I66" i="24"/>
  <c r="I50" i="24"/>
  <c r="I34" i="24"/>
  <c r="I18" i="24"/>
  <c r="I53" i="24"/>
  <c r="I17" i="24"/>
  <c r="I29" i="24"/>
  <c r="I69" i="24"/>
  <c r="I37" i="24"/>
  <c r="I21" i="24"/>
  <c r="I23" i="24"/>
  <c r="I56" i="24"/>
  <c r="I40" i="24"/>
  <c r="I24" i="24"/>
  <c r="I62" i="24"/>
  <c r="I59" i="24"/>
  <c r="I43" i="24"/>
  <c r="I27" i="24"/>
  <c r="I14" i="24"/>
  <c r="I36" i="24"/>
  <c r="I58" i="24"/>
  <c r="I46" i="24"/>
  <c r="I30" i="24"/>
  <c r="I52" i="24"/>
  <c r="E10" i="24"/>
  <c r="I11" i="24" s="1"/>
  <c r="I39" i="24"/>
  <c r="I42" i="24"/>
  <c r="I65" i="24"/>
  <c r="I49" i="24"/>
  <c r="I33" i="24"/>
  <c r="I68" i="24"/>
  <c r="G58" i="24"/>
  <c r="G42" i="24"/>
  <c r="G26" i="24"/>
  <c r="B10" i="24"/>
  <c r="G64" i="24"/>
  <c r="G48" i="24"/>
  <c r="G32" i="24"/>
  <c r="G16" i="24"/>
  <c r="G25" i="24"/>
  <c r="G14" i="24"/>
  <c r="G49" i="24"/>
  <c r="G61" i="24"/>
  <c r="G45" i="24"/>
  <c r="G29" i="24"/>
  <c r="G13" i="24"/>
  <c r="G67" i="24"/>
  <c r="G51" i="24"/>
  <c r="G35" i="24"/>
  <c r="G19" i="24"/>
  <c r="G36" i="24"/>
  <c r="G38" i="24"/>
  <c r="G22" i="24"/>
  <c r="G30" i="24"/>
  <c r="G23" i="24"/>
  <c r="G70" i="24"/>
  <c r="G54" i="24"/>
  <c r="G17" i="24"/>
  <c r="G57" i="24"/>
  <c r="G41" i="24"/>
  <c r="G65" i="24"/>
  <c r="G60" i="24"/>
  <c r="G44" i="24"/>
  <c r="G28" i="24"/>
  <c r="G12" i="24"/>
  <c r="G47" i="24"/>
  <c r="G31" i="24"/>
  <c r="G15" i="24"/>
  <c r="G40" i="24"/>
  <c r="G43" i="24"/>
  <c r="G63" i="24"/>
  <c r="G56" i="24"/>
  <c r="G24" i="24"/>
  <c r="G20" i="24"/>
  <c r="G66" i="24"/>
  <c r="G50" i="24"/>
  <c r="G34" i="24"/>
  <c r="G18" i="24"/>
  <c r="G21" i="24"/>
  <c r="G33" i="24"/>
  <c r="G69" i="24"/>
  <c r="G53" i="24"/>
  <c r="G37" i="24"/>
  <c r="G27" i="24"/>
  <c r="G62" i="24"/>
  <c r="G39" i="24"/>
  <c r="G11" i="24"/>
  <c r="G55" i="24"/>
  <c r="G59" i="24"/>
  <c r="G46" i="24"/>
  <c r="G52" i="24"/>
  <c r="G68" i="24"/>
  <c r="H61" i="24"/>
  <c r="H45" i="24"/>
  <c r="H29" i="24"/>
  <c r="H13" i="24"/>
  <c r="H67" i="24"/>
  <c r="H51" i="24"/>
  <c r="H35" i="24"/>
  <c r="H19" i="24"/>
  <c r="H57" i="24"/>
  <c r="H39" i="24"/>
  <c r="H58" i="24"/>
  <c r="H64" i="24"/>
  <c r="H48" i="24"/>
  <c r="H32" i="24"/>
  <c r="H16" i="24"/>
  <c r="H54" i="24"/>
  <c r="H38" i="24"/>
  <c r="H22" i="24"/>
  <c r="H12" i="24"/>
  <c r="H52" i="24"/>
  <c r="H28" i="24"/>
  <c r="H70" i="24"/>
  <c r="H41" i="24"/>
  <c r="H25" i="24"/>
  <c r="H60" i="24"/>
  <c r="H44" i="24"/>
  <c r="H63" i="24"/>
  <c r="H47" i="24"/>
  <c r="H31" i="24"/>
  <c r="H15" i="24"/>
  <c r="H66" i="24"/>
  <c r="H34" i="24"/>
  <c r="H18" i="24"/>
  <c r="H24" i="24"/>
  <c r="H59" i="24"/>
  <c r="H49" i="24"/>
  <c r="H17" i="24"/>
  <c r="H20" i="24"/>
  <c r="H50" i="24"/>
  <c r="H69" i="24"/>
  <c r="H53" i="24"/>
  <c r="H37" i="24"/>
  <c r="H21" i="24"/>
  <c r="H65" i="24"/>
  <c r="H33" i="24"/>
  <c r="H55" i="24"/>
  <c r="H56" i="24"/>
  <c r="H40" i="24"/>
  <c r="H43" i="24"/>
  <c r="H27" i="24"/>
  <c r="H23" i="24"/>
  <c r="H30" i="24"/>
  <c r="D10" i="24"/>
  <c r="H11" i="24" s="1"/>
  <c r="H62" i="24"/>
  <c r="H46" i="24"/>
  <c r="H14" i="24"/>
  <c r="H42" i="24"/>
  <c r="H68" i="24"/>
  <c r="H36" i="24"/>
  <c r="H26" i="24"/>
  <c r="H61" i="23"/>
  <c r="H45" i="23"/>
  <c r="H29" i="23"/>
  <c r="H13" i="23"/>
  <c r="H67" i="23"/>
  <c r="H51" i="23"/>
  <c r="H35" i="23"/>
  <c r="H19" i="23"/>
  <c r="D10" i="23"/>
  <c r="H11" i="23" s="1"/>
  <c r="H64" i="23"/>
  <c r="H48" i="23"/>
  <c r="H32" i="23"/>
  <c r="H16" i="23"/>
  <c r="H54" i="23"/>
  <c r="H38" i="23"/>
  <c r="H22" i="23"/>
  <c r="H25" i="23"/>
  <c r="H23" i="23"/>
  <c r="H70" i="23"/>
  <c r="H57" i="23"/>
  <c r="H41" i="23"/>
  <c r="H36" i="23"/>
  <c r="H58" i="23"/>
  <c r="H60" i="23"/>
  <c r="H44" i="23"/>
  <c r="H28" i="23"/>
  <c r="H12" i="23"/>
  <c r="H39" i="23"/>
  <c r="H63" i="23"/>
  <c r="H47" i="23"/>
  <c r="H31" i="23"/>
  <c r="H15" i="23"/>
  <c r="H40" i="23"/>
  <c r="H55" i="23"/>
  <c r="H66" i="23"/>
  <c r="H50" i="23"/>
  <c r="H34" i="23"/>
  <c r="H18" i="23"/>
  <c r="H21" i="23"/>
  <c r="H24" i="23"/>
  <c r="H69" i="23"/>
  <c r="H53" i="23"/>
  <c r="H37" i="23"/>
  <c r="H56" i="23"/>
  <c r="H26" i="23"/>
  <c r="H59" i="23"/>
  <c r="H43" i="23"/>
  <c r="H27" i="23"/>
  <c r="H49" i="23"/>
  <c r="H33" i="23"/>
  <c r="H14" i="23"/>
  <c r="H62" i="23"/>
  <c r="H46" i="23"/>
  <c r="H30" i="23"/>
  <c r="H17" i="23"/>
  <c r="H65" i="23"/>
  <c r="H20" i="23"/>
  <c r="H42" i="23"/>
  <c r="H68" i="23"/>
  <c r="H52" i="23"/>
  <c r="I64" i="23"/>
  <c r="I48" i="23"/>
  <c r="I32" i="23"/>
  <c r="I16" i="23"/>
  <c r="I54" i="23"/>
  <c r="I38" i="23"/>
  <c r="I22" i="23"/>
  <c r="I55" i="23"/>
  <c r="I67" i="23"/>
  <c r="I51" i="23"/>
  <c r="I35" i="23"/>
  <c r="I19" i="23"/>
  <c r="I25" i="23"/>
  <c r="I12" i="23"/>
  <c r="I15" i="23"/>
  <c r="I70" i="23"/>
  <c r="I57" i="23"/>
  <c r="I41" i="23"/>
  <c r="I60" i="23"/>
  <c r="I44" i="23"/>
  <c r="I28" i="23"/>
  <c r="E10" i="23"/>
  <c r="I11" i="23" s="1"/>
  <c r="I63" i="23"/>
  <c r="I47" i="23"/>
  <c r="I31" i="23"/>
  <c r="I45" i="23"/>
  <c r="I13" i="23"/>
  <c r="I66" i="23"/>
  <c r="I50" i="23"/>
  <c r="I34" i="23"/>
  <c r="I18" i="23"/>
  <c r="I27" i="23"/>
  <c r="I33" i="23"/>
  <c r="I17" i="23"/>
  <c r="I20" i="23"/>
  <c r="I29" i="23"/>
  <c r="I69" i="23"/>
  <c r="I53" i="23"/>
  <c r="I37" i="23"/>
  <c r="I21" i="23"/>
  <c r="I30" i="23"/>
  <c r="I52" i="23"/>
  <c r="I36" i="23"/>
  <c r="I58" i="23"/>
  <c r="I56" i="23"/>
  <c r="I40" i="23"/>
  <c r="I24" i="23"/>
  <c r="I62" i="23"/>
  <c r="I46" i="23"/>
  <c r="I14" i="23"/>
  <c r="I23" i="23"/>
  <c r="I59" i="23"/>
  <c r="I43" i="23"/>
  <c r="I39" i="23"/>
  <c r="I65" i="23"/>
  <c r="I49" i="23"/>
  <c r="I26" i="23"/>
  <c r="I68" i="23"/>
  <c r="I42" i="23"/>
  <c r="I61" i="23"/>
  <c r="G58" i="23"/>
  <c r="G42" i="23"/>
  <c r="G26" i="23"/>
  <c r="B10" i="23"/>
  <c r="G64" i="23"/>
  <c r="G48" i="23"/>
  <c r="G32" i="23"/>
  <c r="G16" i="23"/>
  <c r="G22" i="23"/>
  <c r="G39" i="23"/>
  <c r="G61" i="23"/>
  <c r="G45" i="23"/>
  <c r="G29" i="23"/>
  <c r="G13" i="23"/>
  <c r="G67" i="23"/>
  <c r="G49" i="23"/>
  <c r="G23" i="23"/>
  <c r="G51" i="23"/>
  <c r="G35" i="23"/>
  <c r="G19" i="23"/>
  <c r="G70" i="23"/>
  <c r="G54" i="23"/>
  <c r="G38" i="23"/>
  <c r="G57" i="23"/>
  <c r="G41" i="23"/>
  <c r="G25" i="23"/>
  <c r="G60" i="23"/>
  <c r="G44" i="23"/>
  <c r="G28" i="23"/>
  <c r="G12" i="23"/>
  <c r="G18" i="23"/>
  <c r="G40" i="23"/>
  <c r="G24" i="23"/>
  <c r="G17" i="23"/>
  <c r="G63" i="23"/>
  <c r="G47" i="23"/>
  <c r="G31" i="23"/>
  <c r="G15" i="23"/>
  <c r="G53" i="23"/>
  <c r="G66" i="23"/>
  <c r="G50" i="23"/>
  <c r="G34" i="23"/>
  <c r="G37" i="23"/>
  <c r="G21" i="23"/>
  <c r="G69" i="23"/>
  <c r="G43" i="23"/>
  <c r="G27" i="23"/>
  <c r="G33" i="23"/>
  <c r="G56" i="23"/>
  <c r="G14" i="23"/>
  <c r="G52" i="23"/>
  <c r="G55" i="23"/>
  <c r="G59" i="23"/>
  <c r="G11" i="23"/>
  <c r="G62" i="23"/>
  <c r="G46" i="23"/>
  <c r="G30" i="23"/>
  <c r="G20" i="23"/>
  <c r="G65" i="23"/>
  <c r="G36" i="23"/>
  <c r="G68" i="23"/>
  <c r="H61" i="22"/>
  <c r="H45" i="22"/>
  <c r="H29" i="22"/>
  <c r="H13" i="22"/>
  <c r="H16" i="22"/>
  <c r="H35" i="22"/>
  <c r="H19" i="22"/>
  <c r="H64" i="22"/>
  <c r="H48" i="22"/>
  <c r="H32" i="22"/>
  <c r="H33" i="22"/>
  <c r="H55" i="22"/>
  <c r="H23" i="22"/>
  <c r="H58" i="22"/>
  <c r="H67" i="22"/>
  <c r="H51" i="22"/>
  <c r="H46" i="22"/>
  <c r="H70" i="22"/>
  <c r="H54" i="22"/>
  <c r="H38" i="22"/>
  <c r="H22" i="22"/>
  <c r="H26" i="22"/>
  <c r="H57" i="22"/>
  <c r="H41" i="22"/>
  <c r="H25" i="22"/>
  <c r="H31" i="22"/>
  <c r="H65" i="22"/>
  <c r="H20" i="22"/>
  <c r="H60" i="22"/>
  <c r="H44" i="22"/>
  <c r="H28" i="22"/>
  <c r="H12" i="22"/>
  <c r="H21" i="22"/>
  <c r="D10" i="22"/>
  <c r="H11" i="22" s="1"/>
  <c r="H63" i="22"/>
  <c r="H47" i="22"/>
  <c r="H15" i="22"/>
  <c r="H27" i="22"/>
  <c r="H39" i="22"/>
  <c r="H66" i="22"/>
  <c r="H50" i="22"/>
  <c r="H34" i="22"/>
  <c r="H18" i="22"/>
  <c r="H37" i="22"/>
  <c r="H30" i="22"/>
  <c r="H69" i="22"/>
  <c r="H53" i="22"/>
  <c r="H68" i="22"/>
  <c r="H56" i="22"/>
  <c r="H40" i="22"/>
  <c r="H24" i="22"/>
  <c r="H14" i="22"/>
  <c r="H49" i="22"/>
  <c r="H17" i="22"/>
  <c r="H59" i="22"/>
  <c r="H43" i="22"/>
  <c r="H36" i="22"/>
  <c r="H62" i="22"/>
  <c r="H52" i="22"/>
  <c r="H42" i="22"/>
  <c r="G58" i="22"/>
  <c r="G42" i="22"/>
  <c r="G26" i="22"/>
  <c r="B10" i="22"/>
  <c r="G13" i="22"/>
  <c r="G16" i="22"/>
  <c r="G61" i="22"/>
  <c r="G45" i="22"/>
  <c r="G29" i="22"/>
  <c r="G64" i="22"/>
  <c r="G48" i="22"/>
  <c r="G32" i="22"/>
  <c r="G46" i="22"/>
  <c r="G67" i="22"/>
  <c r="G51" i="22"/>
  <c r="G35" i="22"/>
  <c r="G19" i="22"/>
  <c r="G68" i="22"/>
  <c r="G70" i="22"/>
  <c r="G54" i="22"/>
  <c r="G38" i="22"/>
  <c r="G22" i="22"/>
  <c r="G12" i="22"/>
  <c r="G21" i="22"/>
  <c r="G27" i="22"/>
  <c r="G57" i="22"/>
  <c r="G41" i="22"/>
  <c r="G25" i="22"/>
  <c r="G28" i="22"/>
  <c r="G15" i="22"/>
  <c r="G34" i="22"/>
  <c r="G24" i="22"/>
  <c r="G60" i="22"/>
  <c r="G44" i="22"/>
  <c r="G33" i="22"/>
  <c r="G39" i="22"/>
  <c r="G63" i="22"/>
  <c r="G47" i="22"/>
  <c r="G31" i="22"/>
  <c r="G18" i="22"/>
  <c r="G62" i="22"/>
  <c r="G65" i="22"/>
  <c r="G36" i="22"/>
  <c r="G66" i="22"/>
  <c r="G50" i="22"/>
  <c r="G11" i="22"/>
  <c r="G30" i="22"/>
  <c r="G49" i="22"/>
  <c r="G20" i="22"/>
  <c r="G55" i="22"/>
  <c r="G69" i="22"/>
  <c r="G53" i="22"/>
  <c r="G37" i="22"/>
  <c r="G43" i="22"/>
  <c r="G17" i="22"/>
  <c r="G23" i="22"/>
  <c r="G56" i="22"/>
  <c r="G40" i="22"/>
  <c r="G59" i="22"/>
  <c r="G52" i="22"/>
  <c r="G14" i="22"/>
  <c r="I64" i="22"/>
  <c r="I48" i="22"/>
  <c r="I32" i="22"/>
  <c r="I16" i="22"/>
  <c r="I67" i="22"/>
  <c r="I51" i="22"/>
  <c r="I35" i="22"/>
  <c r="I19" i="22"/>
  <c r="I55" i="22"/>
  <c r="I29" i="22"/>
  <c r="I70" i="22"/>
  <c r="I54" i="22"/>
  <c r="I38" i="22"/>
  <c r="I22" i="22"/>
  <c r="I20" i="22"/>
  <c r="I57" i="22"/>
  <c r="I41" i="22"/>
  <c r="I25" i="22"/>
  <c r="I60" i="22"/>
  <c r="I44" i="22"/>
  <c r="I28" i="22"/>
  <c r="I12" i="22"/>
  <c r="I50" i="22"/>
  <c r="I30" i="22"/>
  <c r="I33" i="22"/>
  <c r="I42" i="22"/>
  <c r="I45" i="22"/>
  <c r="I63" i="22"/>
  <c r="I47" i="22"/>
  <c r="I31" i="22"/>
  <c r="I15" i="22"/>
  <c r="I18" i="22"/>
  <c r="E10" i="22"/>
  <c r="I11" i="22" s="1"/>
  <c r="I66" i="22"/>
  <c r="I34" i="22"/>
  <c r="I24" i="22"/>
  <c r="I17" i="22"/>
  <c r="I36" i="22"/>
  <c r="I69" i="22"/>
  <c r="I53" i="22"/>
  <c r="I37" i="22"/>
  <c r="I21" i="22"/>
  <c r="I27" i="22"/>
  <c r="I23" i="22"/>
  <c r="I56" i="22"/>
  <c r="I40" i="22"/>
  <c r="I49" i="22"/>
  <c r="I58" i="22"/>
  <c r="I59" i="22"/>
  <c r="I43" i="22"/>
  <c r="I14" i="22"/>
  <c r="I39" i="22"/>
  <c r="I61" i="22"/>
  <c r="I62" i="22"/>
  <c r="I46" i="22"/>
  <c r="I68" i="22"/>
  <c r="I13" i="22"/>
  <c r="I65" i="22"/>
  <c r="I52" i="22"/>
  <c r="I26" i="22"/>
  <c r="H61" i="21"/>
  <c r="H45" i="21"/>
  <c r="H29" i="21"/>
  <c r="H13" i="21"/>
  <c r="H37" i="21"/>
  <c r="H52" i="21"/>
  <c r="H64" i="21"/>
  <c r="H48" i="21"/>
  <c r="H32" i="21"/>
  <c r="H16" i="21"/>
  <c r="H31" i="21"/>
  <c r="H50" i="21"/>
  <c r="H53" i="21"/>
  <c r="H21" i="21"/>
  <c r="H67" i="21"/>
  <c r="H51" i="21"/>
  <c r="H35" i="21"/>
  <c r="H19" i="21"/>
  <c r="H15" i="21"/>
  <c r="H66" i="21"/>
  <c r="H33" i="21"/>
  <c r="H68" i="21"/>
  <c r="H70" i="21"/>
  <c r="H54" i="21"/>
  <c r="H38" i="21"/>
  <c r="H22" i="21"/>
  <c r="H44" i="21"/>
  <c r="H28" i="21"/>
  <c r="H39" i="21"/>
  <c r="H57" i="21"/>
  <c r="H41" i="21"/>
  <c r="H25" i="21"/>
  <c r="H12" i="21"/>
  <c r="H18" i="21"/>
  <c r="H65" i="21"/>
  <c r="H17" i="21"/>
  <c r="H60" i="21"/>
  <c r="H34" i="21"/>
  <c r="H63" i="21"/>
  <c r="H47" i="21"/>
  <c r="H62" i="21"/>
  <c r="H42" i="21"/>
  <c r="H69" i="21"/>
  <c r="H56" i="21"/>
  <c r="H40" i="21"/>
  <c r="H24" i="21"/>
  <c r="H14" i="21"/>
  <c r="H26" i="21"/>
  <c r="H59" i="21"/>
  <c r="H43" i="21"/>
  <c r="H27" i="21"/>
  <c r="H49" i="21"/>
  <c r="H20" i="21"/>
  <c r="D10" i="21"/>
  <c r="H11" i="21" s="1"/>
  <c r="H46" i="21"/>
  <c r="H30" i="21"/>
  <c r="H36" i="21"/>
  <c r="H23" i="21"/>
  <c r="H58" i="21"/>
  <c r="H55" i="21"/>
  <c r="I64" i="21"/>
  <c r="I48" i="21"/>
  <c r="I32" i="21"/>
  <c r="I16" i="21"/>
  <c r="I33" i="21"/>
  <c r="I20" i="21"/>
  <c r="I67" i="21"/>
  <c r="I51" i="21"/>
  <c r="I35" i="21"/>
  <c r="I19" i="21"/>
  <c r="I12" i="21"/>
  <c r="I31" i="21"/>
  <c r="I15" i="21"/>
  <c r="I17" i="21"/>
  <c r="I70" i="21"/>
  <c r="I54" i="21"/>
  <c r="I38" i="21"/>
  <c r="I22" i="21"/>
  <c r="I24" i="21"/>
  <c r="I49" i="21"/>
  <c r="I58" i="21"/>
  <c r="I61" i="21"/>
  <c r="I29" i="21"/>
  <c r="I57" i="21"/>
  <c r="I41" i="21"/>
  <c r="I25" i="21"/>
  <c r="I34" i="21"/>
  <c r="I18" i="21"/>
  <c r="I53" i="21"/>
  <c r="I21" i="21"/>
  <c r="I52" i="21"/>
  <c r="E10" i="21"/>
  <c r="I11" i="21" s="1"/>
  <c r="I55" i="21"/>
  <c r="I23" i="21"/>
  <c r="I60" i="21"/>
  <c r="I44" i="21"/>
  <c r="I28" i="21"/>
  <c r="I47" i="21"/>
  <c r="I63" i="21"/>
  <c r="I66" i="21"/>
  <c r="I50" i="21"/>
  <c r="I37" i="21"/>
  <c r="I45" i="21"/>
  <c r="I13" i="21"/>
  <c r="I69" i="21"/>
  <c r="I39" i="21"/>
  <c r="I56" i="21"/>
  <c r="I40" i="21"/>
  <c r="I59" i="21"/>
  <c r="I43" i="21"/>
  <c r="I27" i="21"/>
  <c r="I30" i="21"/>
  <c r="I14" i="21"/>
  <c r="I26" i="21"/>
  <c r="I62" i="21"/>
  <c r="I46" i="21"/>
  <c r="I36" i="21"/>
  <c r="I42" i="21"/>
  <c r="I65" i="21"/>
  <c r="I68" i="21"/>
  <c r="G58" i="21"/>
  <c r="G42" i="21"/>
  <c r="G26" i="21"/>
  <c r="B10" i="21"/>
  <c r="G31" i="21"/>
  <c r="G61" i="21"/>
  <c r="G45" i="21"/>
  <c r="G29" i="21"/>
  <c r="G13" i="21"/>
  <c r="G57" i="21"/>
  <c r="G63" i="21"/>
  <c r="G30" i="21"/>
  <c r="G68" i="21"/>
  <c r="G55" i="21"/>
  <c r="G64" i="21"/>
  <c r="G48" i="21"/>
  <c r="G32" i="21"/>
  <c r="G16" i="21"/>
  <c r="G47" i="21"/>
  <c r="G27" i="21"/>
  <c r="G36" i="21"/>
  <c r="G67" i="21"/>
  <c r="G51" i="21"/>
  <c r="G35" i="21"/>
  <c r="G19" i="21"/>
  <c r="G12" i="21"/>
  <c r="G50" i="21"/>
  <c r="G43" i="21"/>
  <c r="G70" i="21"/>
  <c r="G54" i="21"/>
  <c r="G38" i="21"/>
  <c r="G22" i="21"/>
  <c r="G25" i="21"/>
  <c r="G28" i="21"/>
  <c r="G18" i="21"/>
  <c r="G17" i="21"/>
  <c r="G20" i="21"/>
  <c r="G41" i="21"/>
  <c r="G59" i="21"/>
  <c r="G60" i="21"/>
  <c r="G44" i="21"/>
  <c r="G34" i="21"/>
  <c r="G49" i="21"/>
  <c r="G15" i="21"/>
  <c r="G66" i="21"/>
  <c r="G69" i="21"/>
  <c r="G53" i="21"/>
  <c r="G37" i="21"/>
  <c r="G21" i="21"/>
  <c r="G40" i="21"/>
  <c r="G24" i="21"/>
  <c r="G62" i="21"/>
  <c r="G33" i="21"/>
  <c r="G56" i="21"/>
  <c r="G11" i="21"/>
  <c r="G65" i="21"/>
  <c r="G39" i="21"/>
  <c r="G46" i="21"/>
  <c r="G14" i="21"/>
  <c r="G52" i="21"/>
  <c r="G23" i="21"/>
  <c r="I64" i="20"/>
  <c r="I48" i="20"/>
  <c r="I32" i="20"/>
  <c r="I16" i="20"/>
  <c r="I67" i="20"/>
  <c r="I51" i="20"/>
  <c r="I35" i="20"/>
  <c r="I19" i="20"/>
  <c r="I60" i="20"/>
  <c r="I44" i="20"/>
  <c r="I28" i="20"/>
  <c r="I12" i="20"/>
  <c r="I70" i="20"/>
  <c r="I54" i="20"/>
  <c r="I38" i="20"/>
  <c r="I22" i="20"/>
  <c r="I57" i="20"/>
  <c r="I41" i="20"/>
  <c r="I25" i="20"/>
  <c r="I45" i="20"/>
  <c r="I63" i="20"/>
  <c r="I47" i="20"/>
  <c r="I31" i="20"/>
  <c r="I15" i="20"/>
  <c r="I56" i="20"/>
  <c r="I24" i="20"/>
  <c r="I14" i="20"/>
  <c r="I17" i="20"/>
  <c r="I36" i="20"/>
  <c r="E10" i="20"/>
  <c r="I11" i="20" s="1"/>
  <c r="I29" i="20"/>
  <c r="I66" i="20"/>
  <c r="I50" i="20"/>
  <c r="I34" i="20"/>
  <c r="I18" i="20"/>
  <c r="I40" i="20"/>
  <c r="I27" i="20"/>
  <c r="I30" i="20"/>
  <c r="I55" i="20"/>
  <c r="I69" i="20"/>
  <c r="I53" i="20"/>
  <c r="I37" i="20"/>
  <c r="I21" i="20"/>
  <c r="I43" i="20"/>
  <c r="I23" i="20"/>
  <c r="I61" i="20"/>
  <c r="I39" i="20"/>
  <c r="I58" i="20"/>
  <c r="I42" i="20"/>
  <c r="I26" i="20"/>
  <c r="I59" i="20"/>
  <c r="I49" i="20"/>
  <c r="I13" i="20"/>
  <c r="I62" i="20"/>
  <c r="I46" i="20"/>
  <c r="I33" i="20"/>
  <c r="I52" i="20"/>
  <c r="I65" i="20"/>
  <c r="I20" i="20"/>
  <c r="I68" i="20"/>
  <c r="H61" i="20"/>
  <c r="H45" i="20"/>
  <c r="H29" i="20"/>
  <c r="H13" i="20"/>
  <c r="H64" i="20"/>
  <c r="H48" i="20"/>
  <c r="H32" i="20"/>
  <c r="H16" i="20"/>
  <c r="H57" i="20"/>
  <c r="H41" i="20"/>
  <c r="H25" i="20"/>
  <c r="H67" i="20"/>
  <c r="H51" i="20"/>
  <c r="H35" i="20"/>
  <c r="H19" i="20"/>
  <c r="H42" i="20"/>
  <c r="H70" i="20"/>
  <c r="H54" i="20"/>
  <c r="H38" i="20"/>
  <c r="H22" i="20"/>
  <c r="H60" i="20"/>
  <c r="H44" i="20"/>
  <c r="H28" i="20"/>
  <c r="H12" i="20"/>
  <c r="H15" i="20"/>
  <c r="H40" i="20"/>
  <c r="H27" i="20"/>
  <c r="H58" i="20"/>
  <c r="H63" i="20"/>
  <c r="H47" i="20"/>
  <c r="H31" i="20"/>
  <c r="H53" i="20"/>
  <c r="H62" i="20"/>
  <c r="H17" i="20"/>
  <c r="H36" i="20"/>
  <c r="H39" i="20"/>
  <c r="D10" i="20"/>
  <c r="H11" i="20" s="1"/>
  <c r="H66" i="20"/>
  <c r="H50" i="20"/>
  <c r="H34" i="20"/>
  <c r="H18" i="20"/>
  <c r="H37" i="20"/>
  <c r="H21" i="20"/>
  <c r="H24" i="20"/>
  <c r="H43" i="20"/>
  <c r="H30" i="20"/>
  <c r="H14" i="20"/>
  <c r="H65" i="20"/>
  <c r="H55" i="20"/>
  <c r="H69" i="20"/>
  <c r="H33" i="20"/>
  <c r="H68" i="20"/>
  <c r="H20" i="20"/>
  <c r="H56" i="20"/>
  <c r="H49" i="20"/>
  <c r="H52" i="20"/>
  <c r="H59" i="20"/>
  <c r="H46" i="20"/>
  <c r="H23" i="20"/>
  <c r="H26" i="20"/>
  <c r="G58" i="20"/>
  <c r="G42" i="20"/>
  <c r="G26" i="20"/>
  <c r="B10" i="20"/>
  <c r="G61" i="20"/>
  <c r="G45" i="20"/>
  <c r="G29" i="20"/>
  <c r="G13" i="20"/>
  <c r="G54" i="20"/>
  <c r="G38" i="20"/>
  <c r="G22" i="20"/>
  <c r="G64" i="20"/>
  <c r="G48" i="20"/>
  <c r="G32" i="20"/>
  <c r="G16" i="20"/>
  <c r="G67" i="20"/>
  <c r="G51" i="20"/>
  <c r="G35" i="20"/>
  <c r="G19" i="20"/>
  <c r="G70" i="20"/>
  <c r="G57" i="20"/>
  <c r="G41" i="20"/>
  <c r="G25" i="20"/>
  <c r="G15" i="20"/>
  <c r="G34" i="20"/>
  <c r="G21" i="20"/>
  <c r="G62" i="20"/>
  <c r="G65" i="20"/>
  <c r="G17" i="20"/>
  <c r="G52" i="20"/>
  <c r="G36" i="20"/>
  <c r="G20" i="20"/>
  <c r="G60" i="20"/>
  <c r="G44" i="20"/>
  <c r="G28" i="20"/>
  <c r="G12" i="20"/>
  <c r="G66" i="20"/>
  <c r="G18" i="20"/>
  <c r="G11" i="20"/>
  <c r="G55" i="20"/>
  <c r="G23" i="20"/>
  <c r="G63" i="20"/>
  <c r="G47" i="20"/>
  <c r="G31" i="20"/>
  <c r="G50" i="20"/>
  <c r="G24" i="20"/>
  <c r="G14" i="20"/>
  <c r="G27" i="20"/>
  <c r="G69" i="20"/>
  <c r="G53" i="20"/>
  <c r="G37" i="20"/>
  <c r="G39" i="20"/>
  <c r="G56" i="20"/>
  <c r="G40" i="20"/>
  <c r="G30" i="20"/>
  <c r="G49" i="20"/>
  <c r="G59" i="20"/>
  <c r="G43" i="20"/>
  <c r="G46" i="20"/>
  <c r="G33" i="20"/>
  <c r="G68" i="20"/>
  <c r="J20" i="17"/>
  <c r="J14" i="17"/>
  <c r="H15" i="7"/>
  <c r="H16" i="7"/>
  <c r="H13" i="7"/>
  <c r="H12" i="7"/>
  <c r="H11" i="7"/>
  <c r="C15" i="6"/>
  <c r="F14" i="6"/>
  <c r="F10" i="6"/>
  <c r="F11" i="6"/>
  <c r="F9" i="6"/>
  <c r="E10" i="6"/>
  <c r="E11" i="6"/>
  <c r="E9" i="6"/>
  <c r="C14" i="6"/>
  <c r="C12" i="6"/>
  <c r="F15" i="5"/>
  <c r="F12" i="5"/>
  <c r="C26" i="2"/>
  <c r="C27" i="2"/>
  <c r="J26" i="7" s="1"/>
  <c r="C28" i="2"/>
  <c r="C29" i="2"/>
  <c r="J12" i="7" s="1"/>
  <c r="C30" i="2"/>
  <c r="J13" i="7" s="1"/>
  <c r="C31" i="2"/>
  <c r="J11" i="7" s="1"/>
  <c r="C32" i="2"/>
  <c r="J15" i="7" s="1"/>
  <c r="E23" i="28" s="1"/>
  <c r="C33" i="2"/>
  <c r="C34" i="2"/>
  <c r="C35" i="2"/>
  <c r="C36" i="2"/>
  <c r="J14" i="7" s="1"/>
  <c r="C37" i="2"/>
  <c r="C38" i="2"/>
  <c r="C39" i="2"/>
  <c r="C40" i="2"/>
  <c r="C41" i="2"/>
  <c r="C42" i="2"/>
  <c r="C43" i="2"/>
  <c r="J16" i="7" s="1"/>
  <c r="E24" i="28" s="1"/>
  <c r="C22" i="2"/>
  <c r="C23" i="2"/>
  <c r="C24" i="2"/>
  <c r="C25" i="2"/>
  <c r="C21" i="2"/>
  <c r="B12" i="2" a="1"/>
  <c r="B12" i="2" s="1"/>
  <c r="E10" i="13" a="1"/>
  <c r="B10" i="16" a="1"/>
  <c r="E10" i="12" a="1"/>
  <c r="E10" i="16" a="1"/>
  <c r="D10" i="12" a="1"/>
  <c r="B10" i="13" a="1"/>
  <c r="B10" i="12" a="1"/>
  <c r="D10" i="16" a="1"/>
  <c r="E10" i="10" a="1"/>
  <c r="B10" i="15" a="1"/>
  <c r="D10" i="15" a="1"/>
  <c r="B10" i="10" a="1"/>
  <c r="D10" i="13" a="1"/>
  <c r="E10" i="15" a="1"/>
  <c r="D10" i="10" a="1"/>
  <c r="E12" i="17" l="1"/>
  <c r="E11" i="28"/>
  <c r="E17" i="28"/>
  <c r="E14" i="17"/>
  <c r="E12" i="28"/>
  <c r="E13" i="17"/>
  <c r="E30" i="28"/>
  <c r="E20" i="17"/>
  <c r="E15" i="17"/>
  <c r="E18" i="28"/>
  <c r="B50" i="29" a="1"/>
  <c r="B50" i="29" s="1"/>
  <c r="B59" i="29" a="1"/>
  <c r="B59" i="29" s="1"/>
  <c r="B68" i="29" a="1"/>
  <c r="B68" i="29" s="1"/>
  <c r="K48" i="24"/>
  <c r="B23" i="29" a="1"/>
  <c r="B23" i="29" s="1"/>
  <c r="B41" i="29" a="1"/>
  <c r="B41" i="29" s="1"/>
  <c r="B32" i="29" a="1"/>
  <c r="B32" i="29" s="1"/>
  <c r="K16" i="24"/>
  <c r="K55" i="24"/>
  <c r="K21" i="23"/>
  <c r="K32" i="24"/>
  <c r="L24" i="24"/>
  <c r="L53" i="24"/>
  <c r="K37" i="23"/>
  <c r="K39" i="23"/>
  <c r="K65" i="23"/>
  <c r="L64" i="20"/>
  <c r="K16" i="23"/>
  <c r="K64" i="24"/>
  <c r="L38" i="20"/>
  <c r="K20" i="27"/>
  <c r="K19" i="24"/>
  <c r="K19" i="23"/>
  <c r="K12" i="26"/>
  <c r="L53" i="20"/>
  <c r="L22" i="26"/>
  <c r="K22" i="26"/>
  <c r="K25" i="27"/>
  <c r="K56" i="26"/>
  <c r="K33" i="27"/>
  <c r="K55" i="26"/>
  <c r="L34" i="20"/>
  <c r="K28" i="26"/>
  <c r="K17" i="26"/>
  <c r="K53" i="20"/>
  <c r="L56" i="20"/>
  <c r="L31" i="24"/>
  <c r="K59" i="24"/>
  <c r="K45" i="27"/>
  <c r="L29" i="20"/>
  <c r="K46" i="21"/>
  <c r="L46" i="20"/>
  <c r="L56" i="24"/>
  <c r="K19" i="27"/>
  <c r="L62" i="27"/>
  <c r="K23" i="23"/>
  <c r="L56" i="26"/>
  <c r="K44" i="23"/>
  <c r="K14" i="26"/>
  <c r="K62" i="27"/>
  <c r="K61" i="23"/>
  <c r="K31" i="27"/>
  <c r="K29" i="27"/>
  <c r="K34" i="23"/>
  <c r="K54" i="24"/>
  <c r="K46" i="20"/>
  <c r="L16" i="20"/>
  <c r="L47" i="24"/>
  <c r="L68" i="24"/>
  <c r="K12" i="27"/>
  <c r="K13" i="27"/>
  <c r="K15" i="20"/>
  <c r="L47" i="27"/>
  <c r="K59" i="23"/>
  <c r="K16" i="27"/>
  <c r="K55" i="23"/>
  <c r="K47" i="23"/>
  <c r="L52" i="23"/>
  <c r="K69" i="27"/>
  <c r="K44" i="27"/>
  <c r="K26" i="27"/>
  <c r="L33" i="27"/>
  <c r="L14" i="27"/>
  <c r="K28" i="20"/>
  <c r="K19" i="20"/>
  <c r="K26" i="20"/>
  <c r="L14" i="20"/>
  <c r="K44" i="21"/>
  <c r="K52" i="23"/>
  <c r="K35" i="23"/>
  <c r="K65" i="26"/>
  <c r="K25" i="26"/>
  <c r="K23" i="27"/>
  <c r="K60" i="27"/>
  <c r="K42" i="27"/>
  <c r="K17" i="27"/>
  <c r="K35" i="20"/>
  <c r="L19" i="20"/>
  <c r="K42" i="23"/>
  <c r="K47" i="24"/>
  <c r="K69" i="20"/>
  <c r="L11" i="24"/>
  <c r="K69" i="24"/>
  <c r="K35" i="24"/>
  <c r="L16" i="27"/>
  <c r="L52" i="24"/>
  <c r="K13" i="23"/>
  <c r="K40" i="21"/>
  <c r="K36" i="23"/>
  <c r="K36" i="26"/>
  <c r="K21" i="26"/>
  <c r="K44" i="26"/>
  <c r="K14" i="27"/>
  <c r="K47" i="27"/>
  <c r="K43" i="27"/>
  <c r="K37" i="20"/>
  <c r="L42" i="20"/>
  <c r="L68" i="23"/>
  <c r="K36" i="24"/>
  <c r="K44" i="20"/>
  <c r="K42" i="20"/>
  <c r="L25" i="21"/>
  <c r="L38" i="26"/>
  <c r="K63" i="26"/>
  <c r="L12" i="26"/>
  <c r="K55" i="22"/>
  <c r="K61" i="24"/>
  <c r="K54" i="27"/>
  <c r="L50" i="20"/>
  <c r="K19" i="22"/>
  <c r="L30" i="22"/>
  <c r="K20" i="23"/>
  <c r="K25" i="23"/>
  <c r="K70" i="27"/>
  <c r="K68" i="23"/>
  <c r="L43" i="24"/>
  <c r="L18" i="24"/>
  <c r="L38" i="24"/>
  <c r="L61" i="24"/>
  <c r="K65" i="24"/>
  <c r="K52" i="26"/>
  <c r="L53" i="22"/>
  <c r="K45" i="23"/>
  <c r="L50" i="23"/>
  <c r="K68" i="22"/>
  <c r="K16" i="26"/>
  <c r="L48" i="20"/>
  <c r="K55" i="20"/>
  <c r="L63" i="24"/>
  <c r="K63" i="24"/>
  <c r="K46" i="27"/>
  <c r="K51" i="27"/>
  <c r="K65" i="27"/>
  <c r="L19" i="27"/>
  <c r="L59" i="23"/>
  <c r="L54" i="23"/>
  <c r="L37" i="24"/>
  <c r="L44" i="24"/>
  <c r="K43" i="24"/>
  <c r="K67" i="27"/>
  <c r="L63" i="27"/>
  <c r="K70" i="23"/>
  <c r="L16" i="23"/>
  <c r="L42" i="24"/>
  <c r="K24" i="26"/>
  <c r="K15" i="26"/>
  <c r="L17" i="26"/>
  <c r="K53" i="27"/>
  <c r="K28" i="27"/>
  <c r="K61" i="20"/>
  <c r="L61" i="20"/>
  <c r="L14" i="24"/>
  <c r="K51" i="23"/>
  <c r="L31" i="20"/>
  <c r="L35" i="20"/>
  <c r="K31" i="23"/>
  <c r="L39" i="24"/>
  <c r="K39" i="24"/>
  <c r="L24" i="27"/>
  <c r="K57" i="21"/>
  <c r="K13" i="21"/>
  <c r="K56" i="23"/>
  <c r="L70" i="20"/>
  <c r="K41" i="21"/>
  <c r="K24" i="27"/>
  <c r="K70" i="20"/>
  <c r="K36" i="21"/>
  <c r="L49" i="20"/>
  <c r="K39" i="21"/>
  <c r="L65" i="26"/>
  <c r="K68" i="27"/>
  <c r="K21" i="21"/>
  <c r="L40" i="24"/>
  <c r="L43" i="27"/>
  <c r="K30" i="24"/>
  <c r="L35" i="27"/>
  <c r="L30" i="26"/>
  <c r="K14" i="23"/>
  <c r="K17" i="23"/>
  <c r="K34" i="26"/>
  <c r="L59" i="26"/>
  <c r="L34" i="26"/>
  <c r="L26" i="21"/>
  <c r="L41" i="21"/>
  <c r="L67" i="21"/>
  <c r="K23" i="22"/>
  <c r="K58" i="23"/>
  <c r="L42" i="23"/>
  <c r="L28" i="23"/>
  <c r="L20" i="24"/>
  <c r="L70" i="24"/>
  <c r="L51" i="24"/>
  <c r="K26" i="24"/>
  <c r="K23" i="26"/>
  <c r="K41" i="26"/>
  <c r="K19" i="26"/>
  <c r="L40" i="26"/>
  <c r="L54" i="20"/>
  <c r="K56" i="21"/>
  <c r="K67" i="21"/>
  <c r="K61" i="21"/>
  <c r="L57" i="21"/>
  <c r="L21" i="21"/>
  <c r="L20" i="23"/>
  <c r="L44" i="23"/>
  <c r="L51" i="21"/>
  <c r="K62" i="22"/>
  <c r="L39" i="21"/>
  <c r="L30" i="24"/>
  <c r="K33" i="24"/>
  <c r="K51" i="24"/>
  <c r="K62" i="21"/>
  <c r="K17" i="21"/>
  <c r="L29" i="24"/>
  <c r="K15" i="27"/>
  <c r="L69" i="22"/>
  <c r="K60" i="23"/>
  <c r="K54" i="26"/>
  <c r="K62" i="20"/>
  <c r="K63" i="20"/>
  <c r="L63" i="21"/>
  <c r="K35" i="22"/>
  <c r="L15" i="24"/>
  <c r="L32" i="24"/>
  <c r="K17" i="24"/>
  <c r="K49" i="24"/>
  <c r="L52" i="26"/>
  <c r="L44" i="26"/>
  <c r="K47" i="20"/>
  <c r="K30" i="22"/>
  <c r="K24" i="24"/>
  <c r="K38" i="20"/>
  <c r="K20" i="22"/>
  <c r="K66" i="21"/>
  <c r="L62" i="22"/>
  <c r="K12" i="20"/>
  <c r="L65" i="20"/>
  <c r="K34" i="21"/>
  <c r="K12" i="21"/>
  <c r="K64" i="23"/>
  <c r="L66" i="26"/>
  <c r="K18" i="27"/>
  <c r="K63" i="23"/>
  <c r="L56" i="23"/>
  <c r="L37" i="27"/>
  <c r="L51" i="27"/>
  <c r="L14" i="21"/>
  <c r="L42" i="26"/>
  <c r="K53" i="24"/>
  <c r="K50" i="26"/>
  <c r="K48" i="27"/>
  <c r="L24" i="20"/>
  <c r="K33" i="21"/>
  <c r="K20" i="21"/>
  <c r="K31" i="21"/>
  <c r="L53" i="21"/>
  <c r="K47" i="22"/>
  <c r="L69" i="23"/>
  <c r="L11" i="23"/>
  <c r="L17" i="24"/>
  <c r="L28" i="24"/>
  <c r="L67" i="24"/>
  <c r="K12" i="24"/>
  <c r="K42" i="24"/>
  <c r="K30" i="26"/>
  <c r="K66" i="26"/>
  <c r="K57" i="26"/>
  <c r="K13" i="26"/>
  <c r="K24" i="20"/>
  <c r="L28" i="21"/>
  <c r="L50" i="21"/>
  <c r="L49" i="24"/>
  <c r="L13" i="24"/>
  <c r="K28" i="24"/>
  <c r="K58" i="24"/>
  <c r="K11" i="26"/>
  <c r="K21" i="27"/>
  <c r="L68" i="27"/>
  <c r="K60" i="20"/>
  <c r="L26" i="20"/>
  <c r="K68" i="20"/>
  <c r="K50" i="20"/>
  <c r="K17" i="20"/>
  <c r="K48" i="20"/>
  <c r="L59" i="20"/>
  <c r="L37" i="20"/>
  <c r="L40" i="20"/>
  <c r="L41" i="20"/>
  <c r="K18" i="21"/>
  <c r="K47" i="21"/>
  <c r="K26" i="21"/>
  <c r="L58" i="21"/>
  <c r="L44" i="21"/>
  <c r="K43" i="23"/>
  <c r="K12" i="23"/>
  <c r="L58" i="23"/>
  <c r="L35" i="23"/>
  <c r="L23" i="24"/>
  <c r="L59" i="24"/>
  <c r="L12" i="24"/>
  <c r="K21" i="24"/>
  <c r="K44" i="24"/>
  <c r="K67" i="24"/>
  <c r="K66" i="27"/>
  <c r="K52" i="27"/>
  <c r="K52" i="20"/>
  <c r="K33" i="20"/>
  <c r="K31" i="20"/>
  <c r="K65" i="20"/>
  <c r="K64" i="20"/>
  <c r="L15" i="20"/>
  <c r="L57" i="20"/>
  <c r="K28" i="21"/>
  <c r="K16" i="21"/>
  <c r="K42" i="21"/>
  <c r="L42" i="21"/>
  <c r="L16" i="21"/>
  <c r="K69" i="22"/>
  <c r="K33" i="22"/>
  <c r="K70" i="22"/>
  <c r="K26" i="22"/>
  <c r="L68" i="22"/>
  <c r="K69" i="23"/>
  <c r="K28" i="23"/>
  <c r="K29" i="23"/>
  <c r="L36" i="23"/>
  <c r="L27" i="24"/>
  <c r="L22" i="24"/>
  <c r="L45" i="24"/>
  <c r="K18" i="24"/>
  <c r="K60" i="24"/>
  <c r="K13" i="24"/>
  <c r="K36" i="27"/>
  <c r="K49" i="27"/>
  <c r="L12" i="20"/>
  <c r="K58" i="21"/>
  <c r="K42" i="22"/>
  <c r="L34" i="23"/>
  <c r="L11" i="26"/>
  <c r="K21" i="20"/>
  <c r="L30" i="21"/>
  <c r="K60" i="22"/>
  <c r="L37" i="26"/>
  <c r="L15" i="26"/>
  <c r="K70" i="26"/>
  <c r="L19" i="26"/>
  <c r="K57" i="27"/>
  <c r="K38" i="27"/>
  <c r="L35" i="26"/>
  <c r="K43" i="20"/>
  <c r="K34" i="20"/>
  <c r="L44" i="20"/>
  <c r="K68" i="21"/>
  <c r="L33" i="21"/>
  <c r="L48" i="24"/>
  <c r="K14" i="24"/>
  <c r="K37" i="26"/>
  <c r="K60" i="26"/>
  <c r="K27" i="26"/>
  <c r="K26" i="26"/>
  <c r="L55" i="27"/>
  <c r="K53" i="21"/>
  <c r="K40" i="20"/>
  <c r="K18" i="20"/>
  <c r="K41" i="20"/>
  <c r="K45" i="20"/>
  <c r="L69" i="20"/>
  <c r="K30" i="21"/>
  <c r="L49" i="21"/>
  <c r="K50" i="22"/>
  <c r="K38" i="23"/>
  <c r="L26" i="24"/>
  <c r="L65" i="24"/>
  <c r="L64" i="24"/>
  <c r="K56" i="24"/>
  <c r="K70" i="24"/>
  <c r="K25" i="24"/>
  <c r="K53" i="26"/>
  <c r="K68" i="26"/>
  <c r="K35" i="26"/>
  <c r="K42" i="26"/>
  <c r="L60" i="26"/>
  <c r="K63" i="27"/>
  <c r="K56" i="20"/>
  <c r="K57" i="20"/>
  <c r="L55" i="20"/>
  <c r="L17" i="20"/>
  <c r="L45" i="20"/>
  <c r="K14" i="21"/>
  <c r="K49" i="21"/>
  <c r="K50" i="21"/>
  <c r="L50" i="22"/>
  <c r="K11" i="23"/>
  <c r="K15" i="23"/>
  <c r="K54" i="23"/>
  <c r="K48" i="23"/>
  <c r="L43" i="23"/>
  <c r="L38" i="23"/>
  <c r="L36" i="24"/>
  <c r="L21" i="24"/>
  <c r="L58" i="24"/>
  <c r="K23" i="24"/>
  <c r="K69" i="26"/>
  <c r="K49" i="26"/>
  <c r="K51" i="26"/>
  <c r="K58" i="26"/>
  <c r="L16" i="26"/>
  <c r="K37" i="27"/>
  <c r="K55" i="27"/>
  <c r="L39" i="27"/>
  <c r="K32" i="27"/>
  <c r="L53" i="27"/>
  <c r="L67" i="27"/>
  <c r="L65" i="27"/>
  <c r="L69" i="27"/>
  <c r="L40" i="27"/>
  <c r="L26" i="27"/>
  <c r="K64" i="27"/>
  <c r="K58" i="27"/>
  <c r="L58" i="27"/>
  <c r="L12" i="27"/>
  <c r="L22" i="27"/>
  <c r="L23" i="27"/>
  <c r="L28" i="27"/>
  <c r="K50" i="27"/>
  <c r="L20" i="27"/>
  <c r="L30" i="27"/>
  <c r="L44" i="27"/>
  <c r="L32" i="27"/>
  <c r="L52" i="27"/>
  <c r="L21" i="27"/>
  <c r="L60" i="27"/>
  <c r="L48" i="27"/>
  <c r="K11" i="27"/>
  <c r="K59" i="27"/>
  <c r="L59" i="27"/>
  <c r="L18" i="27"/>
  <c r="L42" i="27"/>
  <c r="L64" i="27"/>
  <c r="K40" i="27"/>
  <c r="K41" i="27"/>
  <c r="K22" i="27"/>
  <c r="L11" i="27"/>
  <c r="L34" i="27"/>
  <c r="L25" i="27"/>
  <c r="K34" i="27"/>
  <c r="L27" i="27"/>
  <c r="L50" i="27"/>
  <c r="L57" i="27"/>
  <c r="L41" i="27"/>
  <c r="K39" i="27"/>
  <c r="L56" i="27"/>
  <c r="L66" i="27"/>
  <c r="L38" i="27"/>
  <c r="L13" i="27"/>
  <c r="L49" i="27"/>
  <c r="L54" i="27"/>
  <c r="L29" i="27"/>
  <c r="K27" i="27"/>
  <c r="K61" i="27"/>
  <c r="L17" i="27"/>
  <c r="L15" i="27"/>
  <c r="L70" i="27"/>
  <c r="L45" i="27"/>
  <c r="K56" i="27"/>
  <c r="K35" i="27"/>
  <c r="L46" i="27"/>
  <c r="L31" i="27"/>
  <c r="L36" i="27"/>
  <c r="L61" i="27"/>
  <c r="L53" i="26"/>
  <c r="K46" i="26"/>
  <c r="L69" i="26"/>
  <c r="L39" i="26"/>
  <c r="L28" i="26"/>
  <c r="L68" i="26"/>
  <c r="L18" i="26"/>
  <c r="L51" i="26"/>
  <c r="L23" i="26"/>
  <c r="L50" i="26"/>
  <c r="L67" i="26"/>
  <c r="K43" i="26"/>
  <c r="K67" i="26"/>
  <c r="L46" i="26"/>
  <c r="L49" i="26"/>
  <c r="K32" i="26"/>
  <c r="L62" i="26"/>
  <c r="L58" i="26"/>
  <c r="L25" i="26"/>
  <c r="L32" i="26"/>
  <c r="K18" i="26"/>
  <c r="K48" i="26"/>
  <c r="L36" i="26"/>
  <c r="L41" i="26"/>
  <c r="L48" i="26"/>
  <c r="K64" i="26"/>
  <c r="L43" i="26"/>
  <c r="L33" i="26"/>
  <c r="L57" i="26"/>
  <c r="L64" i="26"/>
  <c r="L55" i="26"/>
  <c r="L27" i="26"/>
  <c r="K62" i="26"/>
  <c r="K20" i="26"/>
  <c r="K29" i="26"/>
  <c r="L31" i="26"/>
  <c r="L13" i="26"/>
  <c r="K59" i="26"/>
  <c r="K40" i="26"/>
  <c r="K33" i="26"/>
  <c r="K45" i="26"/>
  <c r="L14" i="26"/>
  <c r="L47" i="26"/>
  <c r="L54" i="26"/>
  <c r="L29" i="26"/>
  <c r="K39" i="26"/>
  <c r="K31" i="26"/>
  <c r="K61" i="26"/>
  <c r="L24" i="26"/>
  <c r="L63" i="26"/>
  <c r="L70" i="26"/>
  <c r="L45" i="26"/>
  <c r="K47" i="26"/>
  <c r="K38" i="26"/>
  <c r="L21" i="26"/>
  <c r="L26" i="26"/>
  <c r="L20" i="26"/>
  <c r="L61" i="26"/>
  <c r="K34" i="24"/>
  <c r="K29" i="24"/>
  <c r="L34" i="24"/>
  <c r="L54" i="24"/>
  <c r="K68" i="24"/>
  <c r="K50" i="24"/>
  <c r="K41" i="24"/>
  <c r="K45" i="24"/>
  <c r="L55" i="24"/>
  <c r="L66" i="24"/>
  <c r="L16" i="24"/>
  <c r="K52" i="24"/>
  <c r="K66" i="24"/>
  <c r="K57" i="24"/>
  <c r="L33" i="24"/>
  <c r="K46" i="24"/>
  <c r="K20" i="24"/>
  <c r="K11" i="24"/>
  <c r="L69" i="24"/>
  <c r="L60" i="24"/>
  <c r="L57" i="24"/>
  <c r="K62" i="24"/>
  <c r="K40" i="24"/>
  <c r="K22" i="24"/>
  <c r="L46" i="24"/>
  <c r="L25" i="24"/>
  <c r="L19" i="24"/>
  <c r="K27" i="24"/>
  <c r="K15" i="24"/>
  <c r="K38" i="24"/>
  <c r="L62" i="24"/>
  <c r="L50" i="24"/>
  <c r="L41" i="24"/>
  <c r="L35" i="24"/>
  <c r="K37" i="24"/>
  <c r="K31" i="24"/>
  <c r="L27" i="23"/>
  <c r="L15" i="23"/>
  <c r="L22" i="23"/>
  <c r="L31" i="23"/>
  <c r="L47" i="23"/>
  <c r="K26" i="23"/>
  <c r="L26" i="23"/>
  <c r="L63" i="23"/>
  <c r="L39" i="23"/>
  <c r="L32" i="23"/>
  <c r="K24" i="23"/>
  <c r="L37" i="23"/>
  <c r="L12" i="23"/>
  <c r="L48" i="23"/>
  <c r="K33" i="23"/>
  <c r="K40" i="23"/>
  <c r="K49" i="23"/>
  <c r="L53" i="23"/>
  <c r="L64" i="23"/>
  <c r="K27" i="23"/>
  <c r="K18" i="23"/>
  <c r="K67" i="23"/>
  <c r="L65" i="23"/>
  <c r="L17" i="23"/>
  <c r="L24" i="23"/>
  <c r="L60" i="23"/>
  <c r="L19" i="23"/>
  <c r="L30" i="23"/>
  <c r="L21" i="23"/>
  <c r="L46" i="23"/>
  <c r="L18" i="23"/>
  <c r="L51" i="23"/>
  <c r="L62" i="23"/>
  <c r="L41" i="23"/>
  <c r="L67" i="23"/>
  <c r="L14" i="23"/>
  <c r="L57" i="23"/>
  <c r="L13" i="23"/>
  <c r="K30" i="23"/>
  <c r="K50" i="23"/>
  <c r="K41" i="23"/>
  <c r="K22" i="23"/>
  <c r="L66" i="23"/>
  <c r="L70" i="23"/>
  <c r="L29" i="23"/>
  <c r="K46" i="23"/>
  <c r="K66" i="23"/>
  <c r="K57" i="23"/>
  <c r="L33" i="23"/>
  <c r="L55" i="23"/>
  <c r="L23" i="23"/>
  <c r="L45" i="23"/>
  <c r="K62" i="23"/>
  <c r="K53" i="23"/>
  <c r="K32" i="23"/>
  <c r="L49" i="23"/>
  <c r="L40" i="23"/>
  <c r="L25" i="23"/>
  <c r="L61" i="23"/>
  <c r="L51" i="22"/>
  <c r="K44" i="22"/>
  <c r="L28" i="22"/>
  <c r="L67" i="22"/>
  <c r="K58" i="22"/>
  <c r="L44" i="22"/>
  <c r="L58" i="22"/>
  <c r="K49" i="22"/>
  <c r="K24" i="22"/>
  <c r="L42" i="22"/>
  <c r="L60" i="22"/>
  <c r="L23" i="22"/>
  <c r="K34" i="22"/>
  <c r="K51" i="22"/>
  <c r="L52" i="22"/>
  <c r="L37" i="22"/>
  <c r="L20" i="22"/>
  <c r="L55" i="22"/>
  <c r="K11" i="22"/>
  <c r="K15" i="22"/>
  <c r="K67" i="22"/>
  <c r="L18" i="22"/>
  <c r="L65" i="22"/>
  <c r="L33" i="22"/>
  <c r="K14" i="22"/>
  <c r="K28" i="22"/>
  <c r="K46" i="22"/>
  <c r="L36" i="22"/>
  <c r="L34" i="22"/>
  <c r="L31" i="22"/>
  <c r="L32" i="22"/>
  <c r="L12" i="22"/>
  <c r="K52" i="22"/>
  <c r="K66" i="22"/>
  <c r="K25" i="22"/>
  <c r="K32" i="22"/>
  <c r="L11" i="22"/>
  <c r="L25" i="22"/>
  <c r="L48" i="22"/>
  <c r="K59" i="22"/>
  <c r="K36" i="22"/>
  <c r="K41" i="22"/>
  <c r="K48" i="22"/>
  <c r="L43" i="22"/>
  <c r="L66" i="22"/>
  <c r="L41" i="22"/>
  <c r="L64" i="22"/>
  <c r="K40" i="22"/>
  <c r="K65" i="22"/>
  <c r="K57" i="22"/>
  <c r="K64" i="22"/>
  <c r="L59" i="22"/>
  <c r="L39" i="22"/>
  <c r="L57" i="22"/>
  <c r="L19" i="22"/>
  <c r="K56" i="22"/>
  <c r="K27" i="22"/>
  <c r="K29" i="22"/>
  <c r="L17" i="22"/>
  <c r="L27" i="22"/>
  <c r="L26" i="22"/>
  <c r="L35" i="22"/>
  <c r="K18" i="22"/>
  <c r="K21" i="22"/>
  <c r="K45" i="22"/>
  <c r="L49" i="22"/>
  <c r="L15" i="22"/>
  <c r="L22" i="22"/>
  <c r="L16" i="22"/>
  <c r="K17" i="22"/>
  <c r="K31" i="22"/>
  <c r="K12" i="22"/>
  <c r="K61" i="22"/>
  <c r="L14" i="22"/>
  <c r="L47" i="22"/>
  <c r="L38" i="22"/>
  <c r="L13" i="22"/>
  <c r="K43" i="22"/>
  <c r="K22" i="22"/>
  <c r="K16" i="22"/>
  <c r="L24" i="22"/>
  <c r="L63" i="22"/>
  <c r="L54" i="22"/>
  <c r="L29" i="22"/>
  <c r="K37" i="22"/>
  <c r="K63" i="22"/>
  <c r="K38" i="22"/>
  <c r="K13" i="22"/>
  <c r="L40" i="22"/>
  <c r="L70" i="22"/>
  <c r="L45" i="22"/>
  <c r="K53" i="22"/>
  <c r="K39" i="22"/>
  <c r="K54" i="22"/>
  <c r="L56" i="22"/>
  <c r="L21" i="22"/>
  <c r="L46" i="22"/>
  <c r="L61" i="22"/>
  <c r="L11" i="21"/>
  <c r="K24" i="21"/>
  <c r="L55" i="21"/>
  <c r="L40" i="21"/>
  <c r="K25" i="21"/>
  <c r="K32" i="21"/>
  <c r="L23" i="21"/>
  <c r="L69" i="21"/>
  <c r="L31" i="21"/>
  <c r="K22" i="21"/>
  <c r="K48" i="21"/>
  <c r="L36" i="21"/>
  <c r="L22" i="21"/>
  <c r="K64" i="21"/>
  <c r="L62" i="21"/>
  <c r="L38" i="21"/>
  <c r="L32" i="21"/>
  <c r="L24" i="21"/>
  <c r="K37" i="21"/>
  <c r="K38" i="21"/>
  <c r="K69" i="21"/>
  <c r="K54" i="21"/>
  <c r="K55" i="21"/>
  <c r="L46" i="21"/>
  <c r="L47" i="21"/>
  <c r="L54" i="21"/>
  <c r="L48" i="21"/>
  <c r="K27" i="21"/>
  <c r="K70" i="21"/>
  <c r="L70" i="21"/>
  <c r="L64" i="21"/>
  <c r="K52" i="21"/>
  <c r="K15" i="21"/>
  <c r="K43" i="21"/>
  <c r="L20" i="21"/>
  <c r="L34" i="21"/>
  <c r="L68" i="21"/>
  <c r="L52" i="21"/>
  <c r="K63" i="21"/>
  <c r="L60" i="21"/>
  <c r="L37" i="21"/>
  <c r="L17" i="21"/>
  <c r="L66" i="21"/>
  <c r="L13" i="21"/>
  <c r="K19" i="21"/>
  <c r="L27" i="21"/>
  <c r="L65" i="21"/>
  <c r="L15" i="21"/>
  <c r="L29" i="21"/>
  <c r="K23" i="21"/>
  <c r="K65" i="21"/>
  <c r="K60" i="21"/>
  <c r="K35" i="21"/>
  <c r="K29" i="21"/>
  <c r="L43" i="21"/>
  <c r="L18" i="21"/>
  <c r="L19" i="21"/>
  <c r="L45" i="21"/>
  <c r="L56" i="21"/>
  <c r="K11" i="21"/>
  <c r="K59" i="21"/>
  <c r="K51" i="21"/>
  <c r="K45" i="21"/>
  <c r="L59" i="21"/>
  <c r="L12" i="21"/>
  <c r="L35" i="21"/>
  <c r="L61" i="21"/>
  <c r="L36" i="20"/>
  <c r="L30" i="20"/>
  <c r="K51" i="20"/>
  <c r="K58" i="20"/>
  <c r="L47" i="20"/>
  <c r="K27" i="20"/>
  <c r="K20" i="20"/>
  <c r="K67" i="20"/>
  <c r="L43" i="20"/>
  <c r="L63" i="20"/>
  <c r="L51" i="20"/>
  <c r="K14" i="20"/>
  <c r="K36" i="20"/>
  <c r="K16" i="20"/>
  <c r="L58" i="20"/>
  <c r="L67" i="20"/>
  <c r="L62" i="20"/>
  <c r="K32" i="20"/>
  <c r="L27" i="20"/>
  <c r="L25" i="20"/>
  <c r="L32" i="20"/>
  <c r="K59" i="20"/>
  <c r="K54" i="20"/>
  <c r="L20" i="20"/>
  <c r="L28" i="20"/>
  <c r="K23" i="20"/>
  <c r="K49" i="20"/>
  <c r="K13" i="20"/>
  <c r="L60" i="20"/>
  <c r="K39" i="20"/>
  <c r="L11" i="20"/>
  <c r="L23" i="20"/>
  <c r="L21" i="20"/>
  <c r="L52" i="20"/>
  <c r="L18" i="20"/>
  <c r="K22" i="20"/>
  <c r="L66" i="20"/>
  <c r="K66" i="20"/>
  <c r="L68" i="20"/>
  <c r="K30" i="20"/>
  <c r="K11" i="20"/>
  <c r="K25" i="20"/>
  <c r="K29" i="20"/>
  <c r="L33" i="20"/>
  <c r="L39" i="20"/>
  <c r="L22" i="20"/>
  <c r="L13" i="20"/>
  <c r="H61" i="16"/>
  <c r="H45" i="16"/>
  <c r="H29" i="16"/>
  <c r="H13" i="16"/>
  <c r="H67" i="16"/>
  <c r="H51" i="16"/>
  <c r="H35" i="16"/>
  <c r="H54" i="16"/>
  <c r="H22" i="16"/>
  <c r="H64" i="16"/>
  <c r="H48" i="16"/>
  <c r="H32" i="16"/>
  <c r="H16" i="16"/>
  <c r="H19" i="16"/>
  <c r="H70" i="16"/>
  <c r="H57" i="16"/>
  <c r="H41" i="16"/>
  <c r="H25" i="16"/>
  <c r="H15" i="16"/>
  <c r="H66" i="16"/>
  <c r="H50" i="16"/>
  <c r="H34" i="16"/>
  <c r="H38" i="16"/>
  <c r="H60" i="16"/>
  <c r="H44" i="16"/>
  <c r="H28" i="16"/>
  <c r="H12" i="16"/>
  <c r="H63" i="16"/>
  <c r="H47" i="16"/>
  <c r="H31" i="16"/>
  <c r="H18" i="16"/>
  <c r="H26" i="16"/>
  <c r="H69" i="16"/>
  <c r="H53" i="16"/>
  <c r="H37" i="16"/>
  <c r="H21" i="16"/>
  <c r="H46" i="16"/>
  <c r="H20" i="16"/>
  <c r="H56" i="16"/>
  <c r="H40" i="16"/>
  <c r="H24" i="16"/>
  <c r="H59" i="16"/>
  <c r="H43" i="16"/>
  <c r="H27" i="16"/>
  <c r="H62" i="16"/>
  <c r="H30" i="16"/>
  <c r="H14" i="16"/>
  <c r="H65" i="16"/>
  <c r="H49" i="16"/>
  <c r="H33" i="16"/>
  <c r="H17" i="16"/>
  <c r="H68" i="16"/>
  <c r="H52" i="16"/>
  <c r="H36" i="16"/>
  <c r="H55" i="16"/>
  <c r="H39" i="16"/>
  <c r="H23" i="16"/>
  <c r="D10" i="16"/>
  <c r="H11" i="16" s="1"/>
  <c r="H58" i="16"/>
  <c r="H42" i="16"/>
  <c r="I64" i="16"/>
  <c r="I48" i="16"/>
  <c r="I32" i="16"/>
  <c r="I16" i="16"/>
  <c r="I70" i="16"/>
  <c r="I54" i="16"/>
  <c r="I38" i="16"/>
  <c r="I22" i="16"/>
  <c r="I41" i="16"/>
  <c r="I67" i="16"/>
  <c r="I51" i="16"/>
  <c r="I35" i="16"/>
  <c r="I19" i="16"/>
  <c r="I60" i="16"/>
  <c r="I44" i="16"/>
  <c r="I28" i="16"/>
  <c r="I12" i="16"/>
  <c r="I50" i="16"/>
  <c r="I34" i="16"/>
  <c r="I21" i="16"/>
  <c r="E10" i="16"/>
  <c r="I11" i="16" s="1"/>
  <c r="I23" i="16"/>
  <c r="I63" i="16"/>
  <c r="I47" i="16"/>
  <c r="I31" i="16"/>
  <c r="I15" i="16"/>
  <c r="I66" i="16"/>
  <c r="I18" i="16"/>
  <c r="I69" i="16"/>
  <c r="I53" i="16"/>
  <c r="I37" i="16"/>
  <c r="I56" i="16"/>
  <c r="I40" i="16"/>
  <c r="I24" i="16"/>
  <c r="I46" i="16"/>
  <c r="I30" i="16"/>
  <c r="I65" i="16"/>
  <c r="I17" i="16"/>
  <c r="I68" i="16"/>
  <c r="I45" i="16"/>
  <c r="I57" i="16"/>
  <c r="I59" i="16"/>
  <c r="I43" i="16"/>
  <c r="I27" i="16"/>
  <c r="I14" i="16"/>
  <c r="I49" i="16"/>
  <c r="I33" i="16"/>
  <c r="I52" i="16"/>
  <c r="I36" i="16"/>
  <c r="I20" i="16"/>
  <c r="I62" i="16"/>
  <c r="I55" i="16"/>
  <c r="I39" i="16"/>
  <c r="I13" i="16"/>
  <c r="I58" i="16"/>
  <c r="I42" i="16"/>
  <c r="I26" i="16"/>
  <c r="I61" i="16"/>
  <c r="I29" i="16"/>
  <c r="I25" i="16"/>
  <c r="G58" i="16"/>
  <c r="G42" i="16"/>
  <c r="G26" i="16"/>
  <c r="B10" i="16"/>
  <c r="G64" i="16"/>
  <c r="G48" i="16"/>
  <c r="G61" i="16"/>
  <c r="G45" i="16"/>
  <c r="G29" i="16"/>
  <c r="G13" i="16"/>
  <c r="G32" i="16"/>
  <c r="G51" i="16"/>
  <c r="G70" i="16"/>
  <c r="G54" i="16"/>
  <c r="G38" i="16"/>
  <c r="G22" i="16"/>
  <c r="G60" i="16"/>
  <c r="G44" i="16"/>
  <c r="G28" i="16"/>
  <c r="G63" i="16"/>
  <c r="G57" i="16"/>
  <c r="G41" i="16"/>
  <c r="G25" i="16"/>
  <c r="G12" i="16"/>
  <c r="G47" i="16"/>
  <c r="G31" i="16"/>
  <c r="G15" i="16"/>
  <c r="G33" i="16"/>
  <c r="G39" i="16"/>
  <c r="G35" i="16"/>
  <c r="G55" i="16"/>
  <c r="G66" i="16"/>
  <c r="G50" i="16"/>
  <c r="G34" i="16"/>
  <c r="G18" i="16"/>
  <c r="G56" i="16"/>
  <c r="G40" i="16"/>
  <c r="G24" i="16"/>
  <c r="G27" i="16"/>
  <c r="G46" i="16"/>
  <c r="G30" i="16"/>
  <c r="G14" i="16"/>
  <c r="G19" i="16"/>
  <c r="G69" i="16"/>
  <c r="G53" i="16"/>
  <c r="G37" i="16"/>
  <c r="G21" i="16"/>
  <c r="G11" i="16"/>
  <c r="G62" i="16"/>
  <c r="G59" i="16"/>
  <c r="G43" i="16"/>
  <c r="G23" i="16"/>
  <c r="G67" i="16"/>
  <c r="G65" i="16"/>
  <c r="G49" i="16"/>
  <c r="G17" i="16"/>
  <c r="G16" i="16"/>
  <c r="G68" i="16"/>
  <c r="G52" i="16"/>
  <c r="G36" i="16"/>
  <c r="G20" i="16"/>
  <c r="H61" i="15"/>
  <c r="H45" i="15"/>
  <c r="H29" i="15"/>
  <c r="H13" i="15"/>
  <c r="H30" i="15"/>
  <c r="H14" i="15"/>
  <c r="H33" i="15"/>
  <c r="H36" i="15"/>
  <c r="H64" i="15"/>
  <c r="H48" i="15"/>
  <c r="H32" i="15"/>
  <c r="H16" i="15"/>
  <c r="H49" i="15"/>
  <c r="H67" i="15"/>
  <c r="H51" i="15"/>
  <c r="H35" i="15"/>
  <c r="H19" i="15"/>
  <c r="H58" i="15"/>
  <c r="H70" i="15"/>
  <c r="H54" i="15"/>
  <c r="H38" i="15"/>
  <c r="H22" i="15"/>
  <c r="H57" i="15"/>
  <c r="H41" i="15"/>
  <c r="H25" i="15"/>
  <c r="H62" i="15"/>
  <c r="H65" i="15"/>
  <c r="H39" i="15"/>
  <c r="H60" i="15"/>
  <c r="H44" i="15"/>
  <c r="H28" i="15"/>
  <c r="H12" i="15"/>
  <c r="H18" i="15"/>
  <c r="H24" i="15"/>
  <c r="H59" i="15"/>
  <c r="H52" i="15"/>
  <c r="H26" i="15"/>
  <c r="H63" i="15"/>
  <c r="H47" i="15"/>
  <c r="H31" i="15"/>
  <c r="H15" i="15"/>
  <c r="H27" i="15"/>
  <c r="H46" i="15"/>
  <c r="H17" i="15"/>
  <c r="H66" i="15"/>
  <c r="H50" i="15"/>
  <c r="H34" i="15"/>
  <c r="H69" i="15"/>
  <c r="H53" i="15"/>
  <c r="H37" i="15"/>
  <c r="H21" i="15"/>
  <c r="H56" i="15"/>
  <c r="H40" i="15"/>
  <c r="H43" i="15"/>
  <c r="H68" i="15"/>
  <c r="H20" i="15"/>
  <c r="D10" i="15"/>
  <c r="H11" i="15" s="1"/>
  <c r="H23" i="15"/>
  <c r="H42" i="15"/>
  <c r="H55" i="15"/>
  <c r="I64" i="15"/>
  <c r="I48" i="15"/>
  <c r="I32" i="15"/>
  <c r="I16" i="15"/>
  <c r="I30" i="15"/>
  <c r="I52" i="15"/>
  <c r="I67" i="15"/>
  <c r="I51" i="15"/>
  <c r="I35" i="15"/>
  <c r="I19" i="15"/>
  <c r="I70" i="15"/>
  <c r="I54" i="15"/>
  <c r="I38" i="15"/>
  <c r="I22" i="15"/>
  <c r="I57" i="15"/>
  <c r="I41" i="15"/>
  <c r="I25" i="15"/>
  <c r="I60" i="15"/>
  <c r="I44" i="15"/>
  <c r="I28" i="15"/>
  <c r="I12" i="15"/>
  <c r="I14" i="15"/>
  <c r="I55" i="15"/>
  <c r="I63" i="15"/>
  <c r="I47" i="15"/>
  <c r="I31" i="15"/>
  <c r="I15" i="15"/>
  <c r="I65" i="15"/>
  <c r="I49" i="15"/>
  <c r="I17" i="15"/>
  <c r="I39" i="15"/>
  <c r="I45" i="15"/>
  <c r="I66" i="15"/>
  <c r="I50" i="15"/>
  <c r="I34" i="15"/>
  <c r="I18" i="15"/>
  <c r="I68" i="15"/>
  <c r="I42" i="15"/>
  <c r="I29" i="15"/>
  <c r="I69" i="15"/>
  <c r="I53" i="15"/>
  <c r="I37" i="15"/>
  <c r="I21" i="15"/>
  <c r="I23" i="15"/>
  <c r="I56" i="15"/>
  <c r="I40" i="15"/>
  <c r="I24" i="15"/>
  <c r="I62" i="15"/>
  <c r="I26" i="15"/>
  <c r="I59" i="15"/>
  <c r="I43" i="15"/>
  <c r="I27" i="15"/>
  <c r="I46" i="15"/>
  <c r="I33" i="15"/>
  <c r="I36" i="15"/>
  <c r="E10" i="15"/>
  <c r="I11" i="15" s="1"/>
  <c r="I61" i="15"/>
  <c r="I20" i="15"/>
  <c r="I58" i="15"/>
  <c r="I13" i="15"/>
  <c r="G58" i="15"/>
  <c r="G42" i="15"/>
  <c r="G26" i="15"/>
  <c r="B10" i="15"/>
  <c r="G61" i="15"/>
  <c r="G45" i="15"/>
  <c r="G29" i="15"/>
  <c r="G13" i="15"/>
  <c r="G14" i="15"/>
  <c r="G49" i="15"/>
  <c r="G55" i="15"/>
  <c r="G64" i="15"/>
  <c r="G48" i="15"/>
  <c r="G32" i="15"/>
  <c r="G16" i="15"/>
  <c r="G67" i="15"/>
  <c r="G51" i="15"/>
  <c r="G35" i="15"/>
  <c r="G19" i="15"/>
  <c r="G23" i="15"/>
  <c r="G70" i="15"/>
  <c r="G54" i="15"/>
  <c r="G38" i="15"/>
  <c r="G22" i="15"/>
  <c r="G15" i="15"/>
  <c r="G21" i="15"/>
  <c r="G56" i="15"/>
  <c r="G40" i="15"/>
  <c r="G43" i="15"/>
  <c r="G39" i="15"/>
  <c r="G57" i="15"/>
  <c r="G41" i="15"/>
  <c r="G25" i="15"/>
  <c r="G62" i="15"/>
  <c r="G30" i="15"/>
  <c r="G17" i="15"/>
  <c r="G60" i="15"/>
  <c r="G44" i="15"/>
  <c r="G28" i="15"/>
  <c r="G12" i="15"/>
  <c r="G31" i="15"/>
  <c r="G59" i="15"/>
  <c r="G63" i="15"/>
  <c r="G47" i="15"/>
  <c r="G27" i="15"/>
  <c r="G65" i="15"/>
  <c r="G66" i="15"/>
  <c r="G50" i="15"/>
  <c r="G34" i="15"/>
  <c r="G18" i="15"/>
  <c r="G24" i="15"/>
  <c r="G11" i="15"/>
  <c r="G46" i="15"/>
  <c r="G69" i="15"/>
  <c r="G53" i="15"/>
  <c r="G37" i="15"/>
  <c r="G33" i="15"/>
  <c r="G68" i="15"/>
  <c r="G52" i="15"/>
  <c r="G36" i="15"/>
  <c r="G20" i="15"/>
  <c r="I64" i="13"/>
  <c r="I48" i="13"/>
  <c r="I32" i="13"/>
  <c r="I16" i="13"/>
  <c r="I67" i="13"/>
  <c r="I51" i="13"/>
  <c r="I35" i="13"/>
  <c r="I19" i="13"/>
  <c r="I52" i="13"/>
  <c r="I70" i="13"/>
  <c r="I54" i="13"/>
  <c r="I38" i="13"/>
  <c r="I22" i="13"/>
  <c r="I57" i="13"/>
  <c r="I41" i="13"/>
  <c r="I25" i="13"/>
  <c r="I60" i="13"/>
  <c r="I44" i="13"/>
  <c r="I28" i="13"/>
  <c r="I12" i="13"/>
  <c r="I36" i="13"/>
  <c r="I55" i="13"/>
  <c r="I31" i="13"/>
  <c r="I46" i="13"/>
  <c r="I33" i="13"/>
  <c r="I13" i="13"/>
  <c r="I63" i="13"/>
  <c r="I47" i="13"/>
  <c r="I15" i="13"/>
  <c r="I42" i="13"/>
  <c r="I66" i="13"/>
  <c r="I50" i="13"/>
  <c r="I34" i="13"/>
  <c r="I18" i="13"/>
  <c r="I27" i="13"/>
  <c r="I20" i="13"/>
  <c r="I61" i="13"/>
  <c r="I69" i="13"/>
  <c r="I53" i="13"/>
  <c r="I37" i="13"/>
  <c r="I21" i="13"/>
  <c r="I30" i="13"/>
  <c r="E10" i="13"/>
  <c r="I11" i="13" s="1"/>
  <c r="I58" i="13"/>
  <c r="I56" i="13"/>
  <c r="I40" i="13"/>
  <c r="I24" i="13"/>
  <c r="I14" i="13"/>
  <c r="I49" i="13"/>
  <c r="I59" i="13"/>
  <c r="I43" i="13"/>
  <c r="I39" i="13"/>
  <c r="I26" i="13"/>
  <c r="I62" i="13"/>
  <c r="I65" i="13"/>
  <c r="I17" i="13"/>
  <c r="I23" i="13"/>
  <c r="I29" i="13"/>
  <c r="I68" i="13"/>
  <c r="I45" i="13"/>
  <c r="H61" i="13"/>
  <c r="H45" i="13"/>
  <c r="H29" i="13"/>
  <c r="H13" i="13"/>
  <c r="H19" i="13"/>
  <c r="H55" i="13"/>
  <c r="H42" i="13"/>
  <c r="H64" i="13"/>
  <c r="H48" i="13"/>
  <c r="H32" i="13"/>
  <c r="H16" i="13"/>
  <c r="H57" i="13"/>
  <c r="H41" i="13"/>
  <c r="H25" i="13"/>
  <c r="H36" i="13"/>
  <c r="H23" i="13"/>
  <c r="H67" i="13"/>
  <c r="H51" i="13"/>
  <c r="H35" i="13"/>
  <c r="H27" i="13"/>
  <c r="H30" i="13"/>
  <c r="H70" i="13"/>
  <c r="H54" i="13"/>
  <c r="H38" i="13"/>
  <c r="H22" i="13"/>
  <c r="H28" i="13"/>
  <c r="H20" i="13"/>
  <c r="H26" i="13"/>
  <c r="H12" i="13"/>
  <c r="H33" i="13"/>
  <c r="H39" i="13"/>
  <c r="H60" i="13"/>
  <c r="H44" i="13"/>
  <c r="H58" i="13"/>
  <c r="H63" i="13"/>
  <c r="H47" i="13"/>
  <c r="H31" i="13"/>
  <c r="H15" i="13"/>
  <c r="H46" i="13"/>
  <c r="H14" i="13"/>
  <c r="H68" i="13"/>
  <c r="H66" i="13"/>
  <c r="H50" i="13"/>
  <c r="H34" i="13"/>
  <c r="H18" i="13"/>
  <c r="D10" i="13"/>
  <c r="H11" i="13" s="1"/>
  <c r="H69" i="13"/>
  <c r="H53" i="13"/>
  <c r="H37" i="13"/>
  <c r="H21" i="13"/>
  <c r="H24" i="13"/>
  <c r="H56" i="13"/>
  <c r="H40" i="13"/>
  <c r="H49" i="13"/>
  <c r="H59" i="13"/>
  <c r="H43" i="13"/>
  <c r="H52" i="13"/>
  <c r="H62" i="13"/>
  <c r="H17" i="13"/>
  <c r="H65" i="13"/>
  <c r="G58" i="13"/>
  <c r="G42" i="13"/>
  <c r="G26" i="13"/>
  <c r="B10" i="13"/>
  <c r="G32" i="13"/>
  <c r="G16" i="13"/>
  <c r="G21" i="13"/>
  <c r="G11" i="13"/>
  <c r="G61" i="13"/>
  <c r="G45" i="13"/>
  <c r="G29" i="13"/>
  <c r="G13" i="13"/>
  <c r="G23" i="13"/>
  <c r="G64" i="13"/>
  <c r="G48" i="13"/>
  <c r="G14" i="13"/>
  <c r="G33" i="13"/>
  <c r="G55" i="13"/>
  <c r="G67" i="13"/>
  <c r="G51" i="13"/>
  <c r="G35" i="13"/>
  <c r="G19" i="13"/>
  <c r="G54" i="13"/>
  <c r="G38" i="13"/>
  <c r="G22" i="13"/>
  <c r="G36" i="13"/>
  <c r="G70" i="13"/>
  <c r="G57" i="13"/>
  <c r="G41" i="13"/>
  <c r="G25" i="13"/>
  <c r="G40" i="13"/>
  <c r="G27" i="13"/>
  <c r="G49" i="13"/>
  <c r="G17" i="13"/>
  <c r="G60" i="13"/>
  <c r="G44" i="13"/>
  <c r="G28" i="13"/>
  <c r="G12" i="13"/>
  <c r="G18" i="13"/>
  <c r="G63" i="13"/>
  <c r="G47" i="13"/>
  <c r="G31" i="13"/>
  <c r="G15" i="13"/>
  <c r="G46" i="13"/>
  <c r="G66" i="13"/>
  <c r="G50" i="13"/>
  <c r="G34" i="13"/>
  <c r="G37" i="13"/>
  <c r="G52" i="13"/>
  <c r="G20" i="13"/>
  <c r="G39" i="13"/>
  <c r="G69" i="13"/>
  <c r="G53" i="13"/>
  <c r="G24" i="13"/>
  <c r="G43" i="13"/>
  <c r="G56" i="13"/>
  <c r="G59" i="13"/>
  <c r="G62" i="13"/>
  <c r="G30" i="13"/>
  <c r="G68" i="13"/>
  <c r="G65" i="13"/>
  <c r="H61" i="12"/>
  <c r="H45" i="12"/>
  <c r="H29" i="12"/>
  <c r="H13" i="12"/>
  <c r="H67" i="12"/>
  <c r="H51" i="12"/>
  <c r="H35" i="12"/>
  <c r="H19" i="12"/>
  <c r="H57" i="12"/>
  <c r="H41" i="12"/>
  <c r="H25" i="12"/>
  <c r="H60" i="12"/>
  <c r="H44" i="12"/>
  <c r="H28" i="12"/>
  <c r="H12" i="12"/>
  <c r="H47" i="12"/>
  <c r="H31" i="12"/>
  <c r="H64" i="12"/>
  <c r="H48" i="12"/>
  <c r="H32" i="12"/>
  <c r="H16" i="12"/>
  <c r="H54" i="12"/>
  <c r="H38" i="12"/>
  <c r="H22" i="12"/>
  <c r="H70" i="12"/>
  <c r="H63" i="12"/>
  <c r="H69" i="12"/>
  <c r="H65" i="12"/>
  <c r="H49" i="12"/>
  <c r="H33" i="12"/>
  <c r="H17" i="12"/>
  <c r="H20" i="12"/>
  <c r="H23" i="12"/>
  <c r="D10" i="12"/>
  <c r="H11" i="12" s="1"/>
  <c r="H26" i="12"/>
  <c r="H68" i="12"/>
  <c r="H52" i="12"/>
  <c r="H36" i="12"/>
  <c r="H55" i="12"/>
  <c r="H39" i="12"/>
  <c r="H58" i="12"/>
  <c r="H42" i="12"/>
  <c r="H66" i="12"/>
  <c r="H15" i="12"/>
  <c r="H46" i="12"/>
  <c r="H34" i="12"/>
  <c r="H24" i="12"/>
  <c r="H14" i="12"/>
  <c r="H43" i="12"/>
  <c r="H27" i="12"/>
  <c r="H56" i="12"/>
  <c r="H53" i="12"/>
  <c r="H50" i="12"/>
  <c r="H40" i="12"/>
  <c r="H37" i="12"/>
  <c r="H21" i="12"/>
  <c r="H62" i="12"/>
  <c r="H30" i="12"/>
  <c r="H18" i="12"/>
  <c r="H59" i="12"/>
  <c r="I64" i="12"/>
  <c r="I48" i="12"/>
  <c r="I32" i="12"/>
  <c r="I16" i="12"/>
  <c r="I54" i="12"/>
  <c r="I38" i="12"/>
  <c r="I22" i="12"/>
  <c r="I60" i="12"/>
  <c r="I44" i="12"/>
  <c r="I28" i="12"/>
  <c r="I12" i="12"/>
  <c r="I63" i="12"/>
  <c r="I47" i="12"/>
  <c r="I31" i="12"/>
  <c r="I15" i="12"/>
  <c r="I66" i="12"/>
  <c r="I50" i="12"/>
  <c r="I67" i="12"/>
  <c r="I51" i="12"/>
  <c r="I35" i="12"/>
  <c r="I19" i="12"/>
  <c r="I57" i="12"/>
  <c r="I41" i="12"/>
  <c r="I25" i="12"/>
  <c r="I70" i="12"/>
  <c r="I69" i="12"/>
  <c r="I68" i="12"/>
  <c r="I52" i="12"/>
  <c r="I36" i="12"/>
  <c r="I20" i="12"/>
  <c r="E10" i="12"/>
  <c r="I11" i="12" s="1"/>
  <c r="I45" i="12"/>
  <c r="I34" i="12"/>
  <c r="I55" i="12"/>
  <c r="I39" i="12"/>
  <c r="I23" i="12"/>
  <c r="I13" i="12"/>
  <c r="I58" i="12"/>
  <c r="I42" i="12"/>
  <c r="I26" i="12"/>
  <c r="I29" i="12"/>
  <c r="I18" i="12"/>
  <c r="I61" i="12"/>
  <c r="I56" i="12"/>
  <c r="I65" i="12"/>
  <c r="I40" i="12"/>
  <c r="I49" i="12"/>
  <c r="I46" i="12"/>
  <c r="I24" i="12"/>
  <c r="I53" i="12"/>
  <c r="I33" i="12"/>
  <c r="I62" i="12"/>
  <c r="I59" i="12"/>
  <c r="I37" i="12"/>
  <c r="I17" i="12"/>
  <c r="I14" i="12"/>
  <c r="I43" i="12"/>
  <c r="I21" i="12"/>
  <c r="I30" i="12"/>
  <c r="I27" i="12"/>
  <c r="G58" i="12"/>
  <c r="G42" i="12"/>
  <c r="G26" i="12"/>
  <c r="B10" i="12"/>
  <c r="G64" i="12"/>
  <c r="G48" i="12"/>
  <c r="G32" i="12"/>
  <c r="G16" i="12"/>
  <c r="G70" i="12"/>
  <c r="G54" i="12"/>
  <c r="G38" i="12"/>
  <c r="G22" i="12"/>
  <c r="G57" i="12"/>
  <c r="G41" i="12"/>
  <c r="G25" i="12"/>
  <c r="G60" i="12"/>
  <c r="G44" i="12"/>
  <c r="G61" i="12"/>
  <c r="G45" i="12"/>
  <c r="G29" i="12"/>
  <c r="G13" i="12"/>
  <c r="G67" i="12"/>
  <c r="G51" i="12"/>
  <c r="G35" i="12"/>
  <c r="G19" i="12"/>
  <c r="G69" i="12"/>
  <c r="G62" i="12"/>
  <c r="G46" i="12"/>
  <c r="G30" i="12"/>
  <c r="G14" i="12"/>
  <c r="G65" i="12"/>
  <c r="G49" i="12"/>
  <c r="G33" i="12"/>
  <c r="G17" i="12"/>
  <c r="G68" i="12"/>
  <c r="G52" i="12"/>
  <c r="G36" i="12"/>
  <c r="G20" i="12"/>
  <c r="G39" i="12"/>
  <c r="G28" i="12"/>
  <c r="G12" i="12"/>
  <c r="G55" i="12"/>
  <c r="G23" i="12"/>
  <c r="G27" i="12"/>
  <c r="G15" i="12"/>
  <c r="G56" i="12"/>
  <c r="G34" i="12"/>
  <c r="G63" i="12"/>
  <c r="G43" i="12"/>
  <c r="G21" i="12"/>
  <c r="G50" i="12"/>
  <c r="G18" i="12"/>
  <c r="G66" i="12"/>
  <c r="G24" i="12"/>
  <c r="G31" i="12"/>
  <c r="G11" i="12"/>
  <c r="G40" i="12"/>
  <c r="G37" i="12"/>
  <c r="G53" i="12"/>
  <c r="G59" i="12"/>
  <c r="G47" i="12"/>
  <c r="E10" i="10"/>
  <c r="I11" i="10" s="1"/>
  <c r="H31" i="10"/>
  <c r="H53" i="10"/>
  <c r="H32" i="10"/>
  <c r="H54" i="10"/>
  <c r="H33" i="10"/>
  <c r="H55" i="10"/>
  <c r="H12" i="10"/>
  <c r="H34" i="10"/>
  <c r="H56" i="10"/>
  <c r="H13" i="10"/>
  <c r="H35" i="10"/>
  <c r="H57" i="10"/>
  <c r="H14" i="10"/>
  <c r="H36" i="10"/>
  <c r="H58" i="10"/>
  <c r="H18" i="10"/>
  <c r="H46" i="10"/>
  <c r="H19" i="10"/>
  <c r="H47" i="10"/>
  <c r="H20" i="10"/>
  <c r="H48" i="10"/>
  <c r="H21" i="10"/>
  <c r="H49" i="10"/>
  <c r="H22" i="10"/>
  <c r="H50" i="10"/>
  <c r="H23" i="10"/>
  <c r="H51" i="10"/>
  <c r="H24" i="10"/>
  <c r="H52" i="10"/>
  <c r="H25" i="10"/>
  <c r="H59" i="10"/>
  <c r="H41" i="10"/>
  <c r="H42" i="10"/>
  <c r="H43" i="10"/>
  <c r="H44" i="10"/>
  <c r="H45" i="10"/>
  <c r="H60" i="10"/>
  <c r="H61" i="10"/>
  <c r="H62" i="10"/>
  <c r="H63" i="10"/>
  <c r="H64" i="10"/>
  <c r="H15" i="10"/>
  <c r="H65" i="10"/>
  <c r="H16" i="10"/>
  <c r="H66" i="10"/>
  <c r="H17" i="10"/>
  <c r="H67" i="10"/>
  <c r="H26" i="10"/>
  <c r="H68" i="10"/>
  <c r="H27" i="10"/>
  <c r="H69" i="10"/>
  <c r="H28" i="10"/>
  <c r="H70" i="10"/>
  <c r="H29" i="10"/>
  <c r="H30" i="10"/>
  <c r="H37" i="10"/>
  <c r="H38" i="10"/>
  <c r="H39" i="10"/>
  <c r="H40" i="10"/>
  <c r="I24" i="10"/>
  <c r="I46" i="10"/>
  <c r="I68" i="10"/>
  <c r="I25" i="10"/>
  <c r="I47" i="10"/>
  <c r="I69" i="10"/>
  <c r="I26" i="10"/>
  <c r="I48" i="10"/>
  <c r="I70" i="10"/>
  <c r="I27" i="10"/>
  <c r="I49" i="10"/>
  <c r="I28" i="10"/>
  <c r="I50" i="10"/>
  <c r="I29" i="10"/>
  <c r="I51" i="10"/>
  <c r="I15" i="10"/>
  <c r="I43" i="10"/>
  <c r="I16" i="10"/>
  <c r="I44" i="10"/>
  <c r="I17" i="10"/>
  <c r="I45" i="10"/>
  <c r="I18" i="10"/>
  <c r="I52" i="10"/>
  <c r="I19" i="10"/>
  <c r="I53" i="10"/>
  <c r="I20" i="10"/>
  <c r="I54" i="10"/>
  <c r="I21" i="10"/>
  <c r="I55" i="10"/>
  <c r="I22" i="10"/>
  <c r="I56" i="10"/>
  <c r="I23" i="10"/>
  <c r="I58" i="10"/>
  <c r="I59" i="10"/>
  <c r="I60" i="10"/>
  <c r="I61" i="10"/>
  <c r="I62" i="10"/>
  <c r="I12" i="10"/>
  <c r="I63" i="10"/>
  <c r="I13" i="10"/>
  <c r="I64" i="10"/>
  <c r="I14" i="10"/>
  <c r="I65" i="10"/>
  <c r="I30" i="10"/>
  <c r="I66" i="10"/>
  <c r="I31" i="10"/>
  <c r="I67" i="10"/>
  <c r="I32" i="10"/>
  <c r="I33" i="10"/>
  <c r="I34" i="10"/>
  <c r="I35" i="10"/>
  <c r="I36" i="10"/>
  <c r="I37" i="10"/>
  <c r="I38" i="10"/>
  <c r="I39" i="10"/>
  <c r="I40" i="10"/>
  <c r="I41" i="10"/>
  <c r="I42" i="10"/>
  <c r="I57" i="10"/>
  <c r="G16" i="10"/>
  <c r="G38" i="10"/>
  <c r="G60" i="10"/>
  <c r="G17" i="10"/>
  <c r="G39" i="10"/>
  <c r="G61" i="10"/>
  <c r="G18" i="10"/>
  <c r="G40" i="10"/>
  <c r="G62" i="10"/>
  <c r="G19" i="10"/>
  <c r="G41" i="10"/>
  <c r="G63" i="10"/>
  <c r="G20" i="10"/>
  <c r="G42" i="10"/>
  <c r="G64" i="10"/>
  <c r="G21" i="10"/>
  <c r="G43" i="10"/>
  <c r="G65" i="10"/>
  <c r="G15" i="10"/>
  <c r="G49" i="10"/>
  <c r="G22" i="10"/>
  <c r="G50" i="10"/>
  <c r="G23" i="10"/>
  <c r="G51" i="10"/>
  <c r="G24" i="10"/>
  <c r="G52" i="10"/>
  <c r="G25" i="10"/>
  <c r="G53" i="10"/>
  <c r="G26" i="10"/>
  <c r="G54" i="10"/>
  <c r="G27" i="10"/>
  <c r="G55" i="10"/>
  <c r="G28" i="10"/>
  <c r="G56" i="10"/>
  <c r="G32" i="10"/>
  <c r="G33" i="10"/>
  <c r="G34" i="10"/>
  <c r="G35" i="10"/>
  <c r="G36" i="10"/>
  <c r="G37" i="10"/>
  <c r="G44" i="10"/>
  <c r="G45" i="10"/>
  <c r="G46" i="10"/>
  <c r="G47" i="10"/>
  <c r="G48" i="10"/>
  <c r="G57" i="10"/>
  <c r="G58" i="10"/>
  <c r="G59" i="10"/>
  <c r="G66" i="10"/>
  <c r="G67" i="10"/>
  <c r="G12" i="10"/>
  <c r="G68" i="10"/>
  <c r="G13" i="10"/>
  <c r="G69" i="10"/>
  <c r="G14" i="10"/>
  <c r="G70" i="10"/>
  <c r="G29" i="10"/>
  <c r="G30" i="10"/>
  <c r="G31" i="10"/>
  <c r="G11" i="10"/>
  <c r="B10" i="10"/>
  <c r="D10" i="10"/>
  <c r="H11" i="10" s="1"/>
  <c r="K24" i="15" l="1"/>
  <c r="K37" i="12"/>
  <c r="K13" i="16"/>
  <c r="K37" i="13"/>
  <c r="K28" i="16"/>
  <c r="K16" i="12"/>
  <c r="K68" i="16"/>
  <c r="K35" i="12"/>
  <c r="L46" i="13"/>
  <c r="K67" i="16"/>
  <c r="K31" i="13"/>
  <c r="K23" i="16"/>
  <c r="K63" i="16"/>
  <c r="H3" i="26"/>
  <c r="H3" i="24"/>
  <c r="H3" i="23"/>
  <c r="H3" i="27"/>
  <c r="H2" i="27"/>
  <c r="H2" i="26"/>
  <c r="H2" i="24"/>
  <c r="H2" i="23"/>
  <c r="H3" i="22"/>
  <c r="C24" i="28" s="1"/>
  <c r="H2" i="22"/>
  <c r="B24" i="28" s="1"/>
  <c r="F24" i="28" s="1"/>
  <c r="K24" i="28" s="1"/>
  <c r="H3" i="21"/>
  <c r="C23" i="28" s="1"/>
  <c r="H2" i="21"/>
  <c r="B23" i="28" s="1"/>
  <c r="F23" i="28" s="1"/>
  <c r="K23" i="28" s="1"/>
  <c r="K65" i="16"/>
  <c r="L70" i="16"/>
  <c r="K62" i="13"/>
  <c r="K57" i="15"/>
  <c r="K11" i="16"/>
  <c r="K55" i="16"/>
  <c r="K70" i="16"/>
  <c r="H3" i="20"/>
  <c r="B10" i="30" s="1" a="1"/>
  <c r="B10" i="30" s="1"/>
  <c r="H2" i="20"/>
  <c r="K23" i="12"/>
  <c r="K62" i="12"/>
  <c r="K38" i="12"/>
  <c r="K45" i="15"/>
  <c r="K60" i="16"/>
  <c r="K44" i="16"/>
  <c r="K63" i="12"/>
  <c r="K52" i="12"/>
  <c r="K16" i="15"/>
  <c r="K64" i="12"/>
  <c r="K13" i="12"/>
  <c r="L51" i="13"/>
  <c r="K52" i="15"/>
  <c r="K19" i="12"/>
  <c r="K56" i="16"/>
  <c r="K54" i="12"/>
  <c r="L65" i="13"/>
  <c r="K41" i="16"/>
  <c r="K52" i="13"/>
  <c r="K33" i="13"/>
  <c r="L38" i="13"/>
  <c r="K45" i="13"/>
  <c r="K19" i="13"/>
  <c r="K53" i="13"/>
  <c r="K35" i="13"/>
  <c r="L37" i="13"/>
  <c r="K21" i="12"/>
  <c r="K27" i="15"/>
  <c r="K18" i="12"/>
  <c r="L21" i="13"/>
  <c r="L58" i="13"/>
  <c r="L45" i="13"/>
  <c r="K68" i="15"/>
  <c r="K59" i="15"/>
  <c r="L15" i="15"/>
  <c r="L18" i="16"/>
  <c r="K24" i="13"/>
  <c r="K32" i="13"/>
  <c r="K69" i="16"/>
  <c r="L18" i="13"/>
  <c r="L44" i="13"/>
  <c r="K58" i="13"/>
  <c r="K69" i="15"/>
  <c r="K52" i="16"/>
  <c r="K48" i="12"/>
  <c r="K28" i="15"/>
  <c r="K51" i="16"/>
  <c r="K44" i="15"/>
  <c r="K19" i="16"/>
  <c r="K20" i="15"/>
  <c r="K47" i="15"/>
  <c r="K63" i="15"/>
  <c r="K14" i="15"/>
  <c r="K35" i="16"/>
  <c r="K12" i="15"/>
  <c r="K15" i="16"/>
  <c r="K66" i="12"/>
  <c r="K36" i="12"/>
  <c r="K30" i="13"/>
  <c r="K15" i="13"/>
  <c r="K70" i="13"/>
  <c r="K29" i="13"/>
  <c r="L59" i="13"/>
  <c r="L54" i="13"/>
  <c r="K50" i="15"/>
  <c r="K67" i="15"/>
  <c r="K40" i="16"/>
  <c r="K64" i="16"/>
  <c r="K36" i="13"/>
  <c r="K68" i="12"/>
  <c r="K45" i="12"/>
  <c r="K26" i="12"/>
  <c r="K59" i="13"/>
  <c r="K18" i="16"/>
  <c r="K26" i="16"/>
  <c r="L27" i="16"/>
  <c r="L21" i="12"/>
  <c r="L67" i="13"/>
  <c r="L61" i="13"/>
  <c r="K67" i="13"/>
  <c r="K26" i="13"/>
  <c r="L36" i="13"/>
  <c r="K14" i="13"/>
  <c r="K46" i="15"/>
  <c r="K60" i="15"/>
  <c r="K70" i="15"/>
  <c r="K61" i="15"/>
  <c r="K14" i="16"/>
  <c r="L66" i="13"/>
  <c r="L14" i="16"/>
  <c r="L30" i="16"/>
  <c r="L19" i="16"/>
  <c r="L65" i="12"/>
  <c r="L62" i="12"/>
  <c r="K12" i="13"/>
  <c r="K69" i="13"/>
  <c r="K51" i="13"/>
  <c r="K51" i="10"/>
  <c r="K57" i="12"/>
  <c r="K39" i="13"/>
  <c r="L69" i="13"/>
  <c r="L39" i="13"/>
  <c r="K37" i="15"/>
  <c r="K54" i="16"/>
  <c r="K59" i="12"/>
  <c r="K22" i="12"/>
  <c r="K20" i="13"/>
  <c r="K17" i="13"/>
  <c r="K55" i="13"/>
  <c r="L33" i="13"/>
  <c r="L25" i="13"/>
  <c r="K53" i="16"/>
  <c r="K39" i="16"/>
  <c r="L12" i="13"/>
  <c r="K67" i="12"/>
  <c r="L20" i="13"/>
  <c r="K66" i="13"/>
  <c r="K41" i="13"/>
  <c r="K62" i="15"/>
  <c r="K20" i="12"/>
  <c r="K68" i="13"/>
  <c r="K46" i="13"/>
  <c r="K57" i="13"/>
  <c r="K13" i="13"/>
  <c r="L14" i="13"/>
  <c r="L64" i="13"/>
  <c r="K51" i="15"/>
  <c r="L27" i="15"/>
  <c r="L26" i="16"/>
  <c r="L57" i="16"/>
  <c r="L11" i="15"/>
  <c r="L20" i="15"/>
  <c r="L31" i="15"/>
  <c r="K57" i="16"/>
  <c r="K43" i="16"/>
  <c r="K17" i="12"/>
  <c r="K42" i="12"/>
  <c r="K58" i="12"/>
  <c r="K18" i="13"/>
  <c r="L63" i="13"/>
  <c r="L35" i="13"/>
  <c r="L29" i="13"/>
  <c r="K36" i="15"/>
  <c r="K59" i="16"/>
  <c r="K42" i="16"/>
  <c r="K66" i="16"/>
  <c r="L23" i="16"/>
  <c r="K44" i="13"/>
  <c r="K33" i="15"/>
  <c r="K31" i="15"/>
  <c r="K15" i="15"/>
  <c r="L66" i="16"/>
  <c r="L17" i="13"/>
  <c r="L50" i="13"/>
  <c r="K11" i="15"/>
  <c r="K31" i="16"/>
  <c r="K50" i="13"/>
  <c r="K25" i="13"/>
  <c r="K64" i="13"/>
  <c r="L32" i="13"/>
  <c r="K30" i="15"/>
  <c r="K19" i="15"/>
  <c r="K65" i="13"/>
  <c r="K23" i="13"/>
  <c r="L52" i="13"/>
  <c r="L68" i="13"/>
  <c r="L22" i="13"/>
  <c r="K18" i="15"/>
  <c r="K35" i="15"/>
  <c r="K29" i="12"/>
  <c r="L59" i="12"/>
  <c r="L49" i="13"/>
  <c r="K24" i="16"/>
  <c r="K48" i="16"/>
  <c r="K50" i="12"/>
  <c r="L62" i="16"/>
  <c r="L16" i="16"/>
  <c r="L58" i="12"/>
  <c r="L57" i="12"/>
  <c r="K16" i="13"/>
  <c r="L43" i="16"/>
  <c r="L19" i="12"/>
  <c r="K28" i="13"/>
  <c r="K56" i="15"/>
  <c r="K62" i="16"/>
  <c r="K58" i="16"/>
  <c r="L11" i="16"/>
  <c r="L38" i="12"/>
  <c r="L35" i="12"/>
  <c r="L53" i="13"/>
  <c r="L60" i="13"/>
  <c r="L23" i="13"/>
  <c r="K21" i="15"/>
  <c r="K49" i="15"/>
  <c r="L21" i="15"/>
  <c r="L70" i="15"/>
  <c r="L54" i="12"/>
  <c r="K60" i="13"/>
  <c r="L37" i="15"/>
  <c r="K21" i="16"/>
  <c r="L39" i="16"/>
  <c r="L54" i="16"/>
  <c r="L16" i="12"/>
  <c r="L11" i="13"/>
  <c r="K22" i="15"/>
  <c r="L18" i="15"/>
  <c r="L55" i="16"/>
  <c r="L35" i="16"/>
  <c r="L13" i="12"/>
  <c r="K49" i="13"/>
  <c r="L51" i="16"/>
  <c r="K27" i="13"/>
  <c r="L34" i="13"/>
  <c r="K54" i="15"/>
  <c r="L28" i="15"/>
  <c r="L51" i="15"/>
  <c r="K33" i="16"/>
  <c r="K34" i="13"/>
  <c r="K48" i="13"/>
  <c r="L16" i="13"/>
  <c r="L21" i="16"/>
  <c r="L28" i="13"/>
  <c r="K17" i="15"/>
  <c r="K23" i="15"/>
  <c r="L66" i="15"/>
  <c r="L60" i="15"/>
  <c r="L49" i="15"/>
  <c r="L17" i="16"/>
  <c r="L48" i="13"/>
  <c r="L55" i="15"/>
  <c r="L17" i="15"/>
  <c r="L16" i="15"/>
  <c r="K16" i="16"/>
  <c r="K30" i="16"/>
  <c r="L12" i="12"/>
  <c r="L43" i="13"/>
  <c r="K42" i="15"/>
  <c r="L42" i="15"/>
  <c r="L31" i="16"/>
  <c r="L42" i="16"/>
  <c r="L47" i="16"/>
  <c r="K34" i="16"/>
  <c r="L58" i="16"/>
  <c r="L63" i="16"/>
  <c r="L32" i="16"/>
  <c r="K50" i="16"/>
  <c r="L59" i="16"/>
  <c r="L12" i="16"/>
  <c r="L48" i="16"/>
  <c r="K22" i="16"/>
  <c r="L24" i="16"/>
  <c r="L28" i="16"/>
  <c r="L64" i="16"/>
  <c r="K38" i="16"/>
  <c r="L40" i="16"/>
  <c r="L44" i="16"/>
  <c r="L22" i="16"/>
  <c r="K37" i="16"/>
  <c r="L56" i="16"/>
  <c r="L60" i="16"/>
  <c r="K20" i="16"/>
  <c r="L36" i="16"/>
  <c r="L20" i="16"/>
  <c r="L38" i="16"/>
  <c r="K36" i="16"/>
  <c r="L52" i="16"/>
  <c r="L46" i="16"/>
  <c r="L34" i="16"/>
  <c r="K32" i="16"/>
  <c r="L68" i="16"/>
  <c r="L50" i="16"/>
  <c r="L67" i="16"/>
  <c r="L13" i="16"/>
  <c r="K47" i="16"/>
  <c r="K29" i="16"/>
  <c r="L33" i="16"/>
  <c r="L37" i="16"/>
  <c r="L15" i="16"/>
  <c r="L29" i="16"/>
  <c r="K17" i="16"/>
  <c r="K46" i="16"/>
  <c r="K12" i="16"/>
  <c r="K45" i="16"/>
  <c r="L49" i="16"/>
  <c r="L53" i="16"/>
  <c r="L25" i="16"/>
  <c r="L45" i="16"/>
  <c r="K49" i="16"/>
  <c r="K27" i="16"/>
  <c r="K25" i="16"/>
  <c r="K61" i="16"/>
  <c r="L65" i="16"/>
  <c r="L69" i="16"/>
  <c r="L41" i="16"/>
  <c r="L61" i="16"/>
  <c r="L34" i="15"/>
  <c r="L50" i="15"/>
  <c r="L44" i="15"/>
  <c r="L67" i="15"/>
  <c r="K26" i="15"/>
  <c r="L39" i="15"/>
  <c r="L46" i="15"/>
  <c r="L65" i="15"/>
  <c r="L32" i="15"/>
  <c r="K34" i="15"/>
  <c r="K25" i="15"/>
  <c r="K58" i="15"/>
  <c r="L23" i="15"/>
  <c r="L62" i="15"/>
  <c r="L48" i="15"/>
  <c r="K41" i="15"/>
  <c r="L25" i="15"/>
  <c r="L64" i="15"/>
  <c r="K66" i="15"/>
  <c r="L41" i="15"/>
  <c r="L36" i="15"/>
  <c r="K65" i="15"/>
  <c r="K39" i="15"/>
  <c r="K32" i="15"/>
  <c r="L68" i="15"/>
  <c r="L47" i="15"/>
  <c r="L57" i="15"/>
  <c r="L33" i="15"/>
  <c r="K43" i="15"/>
  <c r="K48" i="15"/>
  <c r="L43" i="15"/>
  <c r="L63" i="15"/>
  <c r="L22" i="15"/>
  <c r="L14" i="15"/>
  <c r="K40" i="15"/>
  <c r="K64" i="15"/>
  <c r="L40" i="15"/>
  <c r="L26" i="15"/>
  <c r="L38" i="15"/>
  <c r="L30" i="15"/>
  <c r="K55" i="15"/>
  <c r="L56" i="15"/>
  <c r="L52" i="15"/>
  <c r="L54" i="15"/>
  <c r="L59" i="15"/>
  <c r="L13" i="15"/>
  <c r="L24" i="15"/>
  <c r="L58" i="15"/>
  <c r="L29" i="15"/>
  <c r="K13" i="15"/>
  <c r="L53" i="15"/>
  <c r="L19" i="15"/>
  <c r="L45" i="15"/>
  <c r="K53" i="15"/>
  <c r="K38" i="15"/>
  <c r="K29" i="15"/>
  <c r="L69" i="15"/>
  <c r="L12" i="15"/>
  <c r="L35" i="15"/>
  <c r="L61" i="15"/>
  <c r="K42" i="13"/>
  <c r="L41" i="13"/>
  <c r="K40" i="13"/>
  <c r="L26" i="13"/>
  <c r="L57" i="13"/>
  <c r="L62" i="13"/>
  <c r="L42" i="13"/>
  <c r="K47" i="13"/>
  <c r="K22" i="13"/>
  <c r="K61" i="13"/>
  <c r="L40" i="13"/>
  <c r="L15" i="13"/>
  <c r="L70" i="13"/>
  <c r="L55" i="13"/>
  <c r="K56" i="13"/>
  <c r="K63" i="13"/>
  <c r="K38" i="13"/>
  <c r="K11" i="13"/>
  <c r="L56" i="13"/>
  <c r="L31" i="13"/>
  <c r="L30" i="13"/>
  <c r="L19" i="13"/>
  <c r="K43" i="13"/>
  <c r="K54" i="13"/>
  <c r="K21" i="13"/>
  <c r="L24" i="13"/>
  <c r="L47" i="13"/>
  <c r="L27" i="13"/>
  <c r="L13" i="13"/>
  <c r="K38" i="10"/>
  <c r="L20" i="12"/>
  <c r="L47" i="12"/>
  <c r="K24" i="12"/>
  <c r="K61" i="12"/>
  <c r="L40" i="12"/>
  <c r="K47" i="12"/>
  <c r="K15" i="12"/>
  <c r="K30" i="12"/>
  <c r="L36" i="12"/>
  <c r="K65" i="12"/>
  <c r="K18" i="10"/>
  <c r="K27" i="12"/>
  <c r="K46" i="12"/>
  <c r="L52" i="12"/>
  <c r="L56" i="12"/>
  <c r="L68" i="12"/>
  <c r="K13" i="10"/>
  <c r="K39" i="10"/>
  <c r="L40" i="10"/>
  <c r="L65" i="10"/>
  <c r="K14" i="10"/>
  <c r="K69" i="10"/>
  <c r="K40" i="10"/>
  <c r="L38" i="10"/>
  <c r="L14" i="12"/>
  <c r="L24" i="12"/>
  <c r="L17" i="12"/>
  <c r="L34" i="12"/>
  <c r="L33" i="12"/>
  <c r="L28" i="12"/>
  <c r="L46" i="12"/>
  <c r="L49" i="12"/>
  <c r="L44" i="12"/>
  <c r="L18" i="12"/>
  <c r="L15" i="12"/>
  <c r="L60" i="12"/>
  <c r="K43" i="12"/>
  <c r="K44" i="12"/>
  <c r="L30" i="12"/>
  <c r="L66" i="12"/>
  <c r="L69" i="12"/>
  <c r="L25" i="12"/>
  <c r="K33" i="12"/>
  <c r="K49" i="12"/>
  <c r="K60" i="12"/>
  <c r="L42" i="12"/>
  <c r="L63" i="12"/>
  <c r="L41" i="12"/>
  <c r="L70" i="12"/>
  <c r="K34" i="12"/>
  <c r="K25" i="12"/>
  <c r="K56" i="12"/>
  <c r="K14" i="12"/>
  <c r="K41" i="12"/>
  <c r="L37" i="12"/>
  <c r="L39" i="12"/>
  <c r="L22" i="12"/>
  <c r="L55" i="12"/>
  <c r="L50" i="12"/>
  <c r="L51" i="12"/>
  <c r="L53" i="12"/>
  <c r="L67" i="12"/>
  <c r="L32" i="12"/>
  <c r="K53" i="12"/>
  <c r="K69" i="12"/>
  <c r="K40" i="12"/>
  <c r="K12" i="12"/>
  <c r="K70" i="12"/>
  <c r="L27" i="12"/>
  <c r="L26" i="12"/>
  <c r="L48" i="12"/>
  <c r="L29" i="12"/>
  <c r="K11" i="12"/>
  <c r="K28" i="12"/>
  <c r="L11" i="12"/>
  <c r="L64" i="12"/>
  <c r="L45" i="12"/>
  <c r="K55" i="12"/>
  <c r="K31" i="12"/>
  <c r="K39" i="12"/>
  <c r="K51" i="12"/>
  <c r="K32" i="12"/>
  <c r="L43" i="12"/>
  <c r="L23" i="12"/>
  <c r="L31" i="12"/>
  <c r="L61" i="12"/>
  <c r="K23" i="10"/>
  <c r="L59" i="10"/>
  <c r="K27" i="10"/>
  <c r="K49" i="10"/>
  <c r="L37" i="10"/>
  <c r="L58" i="10"/>
  <c r="L64" i="10"/>
  <c r="K50" i="10"/>
  <c r="K22" i="10"/>
  <c r="L57" i="10"/>
  <c r="K28" i="10"/>
  <c r="L39" i="10"/>
  <c r="L62" i="10"/>
  <c r="L63" i="10"/>
  <c r="K48" i="10"/>
  <c r="K12" i="10"/>
  <c r="K26" i="10"/>
  <c r="K62" i="10"/>
  <c r="L26" i="10"/>
  <c r="L41" i="10"/>
  <c r="K41" i="10"/>
  <c r="K19" i="10"/>
  <c r="K21" i="10"/>
  <c r="K35" i="10"/>
  <c r="L11" i="10"/>
  <c r="L35" i="10"/>
  <c r="K61" i="10"/>
  <c r="L15" i="10"/>
  <c r="L56" i="10"/>
  <c r="L34" i="10"/>
  <c r="L36" i="10"/>
  <c r="K58" i="10"/>
  <c r="L49" i="10"/>
  <c r="L55" i="10"/>
  <c r="K59" i="10"/>
  <c r="L70" i="10"/>
  <c r="L60" i="10"/>
  <c r="L48" i="10"/>
  <c r="K60" i="10"/>
  <c r="K55" i="10"/>
  <c r="L28" i="10"/>
  <c r="K34" i="10"/>
  <c r="L29" i="10"/>
  <c r="L69" i="10"/>
  <c r="L44" i="10"/>
  <c r="K57" i="10"/>
  <c r="L61" i="10"/>
  <c r="L43" i="10"/>
  <c r="K17" i="10"/>
  <c r="L42" i="10"/>
  <c r="L20" i="10"/>
  <c r="L47" i="10"/>
  <c r="K54" i="10"/>
  <c r="L19" i="10"/>
  <c r="L46" i="10"/>
  <c r="K53" i="10"/>
  <c r="K52" i="10"/>
  <c r="K24" i="10"/>
  <c r="L14" i="10"/>
  <c r="K16" i="10"/>
  <c r="L30" i="10"/>
  <c r="K47" i="10"/>
  <c r="L13" i="10"/>
  <c r="K45" i="10"/>
  <c r="K11" i="10"/>
  <c r="L23" i="10"/>
  <c r="L54" i="10"/>
  <c r="K31" i="10"/>
  <c r="K64" i="10"/>
  <c r="L67" i="10"/>
  <c r="L50" i="10"/>
  <c r="L32" i="10"/>
  <c r="K30" i="10"/>
  <c r="K33" i="10"/>
  <c r="K42" i="10"/>
  <c r="L17" i="10"/>
  <c r="L22" i="10"/>
  <c r="L53" i="10"/>
  <c r="K29" i="10"/>
  <c r="K32" i="10"/>
  <c r="K20" i="10"/>
  <c r="L66" i="10"/>
  <c r="L31" i="10"/>
  <c r="K70" i="10"/>
  <c r="K56" i="10"/>
  <c r="K63" i="10"/>
  <c r="L16" i="10"/>
  <c r="L21" i="10"/>
  <c r="K68" i="10"/>
  <c r="K67" i="10"/>
  <c r="L18" i="10"/>
  <c r="K66" i="10"/>
  <c r="K25" i="10"/>
  <c r="L45" i="10"/>
  <c r="K46" i="10"/>
  <c r="L25" i="10"/>
  <c r="K44" i="10"/>
  <c r="K15" i="10"/>
  <c r="L52" i="10"/>
  <c r="L12" i="10"/>
  <c r="K37" i="10"/>
  <c r="K65" i="10"/>
  <c r="L27" i="10"/>
  <c r="L24" i="10"/>
  <c r="K36" i="10"/>
  <c r="K43" i="10"/>
  <c r="L68" i="10"/>
  <c r="L51" i="10"/>
  <c r="L33" i="10"/>
  <c r="F12" i="6"/>
  <c r="B48" i="29" l="1" a="1"/>
  <c r="B48" i="29" s="1"/>
  <c r="B21" i="29" a="1"/>
  <c r="B21" i="29" s="1"/>
  <c r="B11" i="30" a="1"/>
  <c r="B11" i="30" s="1"/>
  <c r="B9" i="30" a="1"/>
  <c r="B9" i="30" s="1"/>
  <c r="B12" i="30" a="1"/>
  <c r="B12" i="30" s="1"/>
  <c r="E37" i="28"/>
  <c r="K25" i="28"/>
  <c r="D37" i="28" s="1"/>
  <c r="M23" i="28"/>
  <c r="L23" i="28"/>
  <c r="M24" i="28"/>
  <c r="L24" i="28"/>
  <c r="B13" i="17"/>
  <c r="B12" i="28"/>
  <c r="F12" i="28" s="1"/>
  <c r="K12" i="28" s="1"/>
  <c r="B12" i="17"/>
  <c r="F12" i="17" s="1"/>
  <c r="K12" i="17" s="1"/>
  <c r="B30" i="17" s="1"/>
  <c r="B11" i="28"/>
  <c r="F11" i="28" s="1"/>
  <c r="K11" i="28" s="1"/>
  <c r="B20" i="17"/>
  <c r="F20" i="17" s="1"/>
  <c r="B30" i="28"/>
  <c r="F30" i="28" s="1"/>
  <c r="K30" i="28" s="1"/>
  <c r="B15" i="17"/>
  <c r="B18" i="28"/>
  <c r="F18" i="28" s="1"/>
  <c r="K18" i="28" s="1"/>
  <c r="C20" i="17"/>
  <c r="C30" i="28"/>
  <c r="C15" i="17"/>
  <c r="C18" i="28"/>
  <c r="C14" i="17"/>
  <c r="C17" i="28"/>
  <c r="C13" i="17"/>
  <c r="C12" i="28"/>
  <c r="C12" i="17"/>
  <c r="C11" i="28"/>
  <c r="B14" i="17"/>
  <c r="B17" i="28"/>
  <c r="H2" i="16"/>
  <c r="H3" i="15"/>
  <c r="H3" i="13"/>
  <c r="H3" i="16"/>
  <c r="H2" i="15"/>
  <c r="H2" i="13"/>
  <c r="H3" i="12"/>
  <c r="H2" i="12"/>
  <c r="H3" i="10"/>
  <c r="H2" i="10"/>
  <c r="B24" i="29" l="1"/>
  <c r="B25" i="29"/>
  <c r="B26" i="29"/>
  <c r="B53" i="29" a="1"/>
  <c r="B53" i="29" s="1"/>
  <c r="B52" i="29" a="1"/>
  <c r="B52" i="29" s="1"/>
  <c r="B51" i="29"/>
  <c r="F14" i="17"/>
  <c r="K14" i="17" s="1"/>
  <c r="B32" i="17" s="1"/>
  <c r="F13" i="17"/>
  <c r="K13" i="17" s="1"/>
  <c r="B31" i="17" s="1"/>
  <c r="K13" i="28"/>
  <c r="D35" i="28" s="1"/>
  <c r="E35" i="28"/>
  <c r="F15" i="17"/>
  <c r="K15" i="17" s="1"/>
  <c r="B33" i="17" s="1"/>
  <c r="L18" i="28"/>
  <c r="F17" i="28"/>
  <c r="K17" i="28" s="1"/>
  <c r="L12" i="28"/>
  <c r="M12" i="28"/>
  <c r="M18" i="28"/>
  <c r="L30" i="28"/>
  <c r="M30" i="28"/>
  <c r="L11" i="28"/>
  <c r="M11" i="28"/>
  <c r="K20" i="17"/>
  <c r="L14" i="17" l="1"/>
  <c r="M14" i="17"/>
  <c r="M13" i="17"/>
  <c r="L13" i="17"/>
  <c r="M15" i="17"/>
  <c r="B23" i="17"/>
  <c r="B25" i="17" s="1"/>
  <c r="L15" i="17"/>
  <c r="K19" i="28"/>
  <c r="D36" i="28" s="1"/>
  <c r="B40" i="28" s="1"/>
  <c r="B42" i="28" s="1"/>
  <c r="B66" i="29" s="1" a="1"/>
  <c r="B66" i="29" s="1"/>
  <c r="E36" i="28"/>
  <c r="B44" i="28" s="1"/>
  <c r="L17" i="28"/>
  <c r="M17" i="28"/>
  <c r="M20" i="17"/>
  <c r="L20" i="17"/>
  <c r="B35" i="17"/>
  <c r="M12" i="17"/>
  <c r="L12" i="17"/>
  <c r="B71" i="29" l="1" a="1"/>
  <c r="B71" i="29" s="1"/>
  <c r="B70" i="29" a="1"/>
  <c r="B70" i="29" s="1"/>
  <c r="B69" i="29"/>
  <c r="B30" i="29" a="1"/>
  <c r="B30" i="29" s="1"/>
  <c r="B35" i="29" s="1"/>
  <c r="B57" i="29" a="1"/>
  <c r="B57" i="29" s="1"/>
  <c r="B38" i="17"/>
  <c r="B39" i="29" a="1"/>
  <c r="B39" i="29" s="1"/>
  <c r="B47" i="28"/>
  <c r="B46" i="28"/>
  <c r="B37" i="17"/>
  <c r="B33" i="29" l="1"/>
  <c r="B34" i="29"/>
  <c r="B61" i="29" a="1"/>
  <c r="B61" i="29" s="1"/>
  <c r="B60" i="29"/>
  <c r="B62" i="29" a="1"/>
  <c r="B62" i="29" s="1"/>
  <c r="B42" i="29"/>
  <c r="B43" i="29"/>
  <c r="B44"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tc={22673DFD-9847-487E-B1F6-83E2902C6221}</author>
  </authors>
  <commentList>
    <comment ref="E12" authorId="0" shapeId="0" xr:uid="{22673DFD-9847-487E-B1F6-83E2902C6221}">
      <text>
        <t xml:space="preserve">[Threaded comment]
Your version of Excel allows you to read this threaded comment; however, any edits to it will get removed if the file is opened in a newer version of Excel. Learn more: https://go.microsoft.com/fwlink/?linkid=870924
Comment:
    IG = AAA-BBB- Else, Non IG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tc={DD3A912E-0015-4979-8079-B65E54487D70}</author>
  </authors>
  <commentList>
    <comment ref="E11" authorId="0" shapeId="0" xr:uid="{DD3A912E-0015-4979-8079-B65E54487D70}">
      <text>
        <t xml:space="preserve">[Threaded comment]
Your version of Excel allows you to read this threaded comment; however, any edits to it will get removed if the file is opened in a newer version of Excel. Learn more: https://go.microsoft.com/fwlink/?linkid=870924
Comment:
    IG = AAA-BBB- Else, Non IG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907">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4"/>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69"/>
        </ext>
      </extLst>
    </bk>
    <bk>
      <extLst>
        <ext uri="{3e2802c4-a4d2-4d8b-9148-e3be6c30e623}">
          <xlrd:rvb i="170"/>
        </ext>
      </extLst>
    </bk>
    <bk>
      <extLst>
        <ext uri="{3e2802c4-a4d2-4d8b-9148-e3be6c30e623}">
          <xlrd:rvb i="171"/>
        </ext>
      </extLst>
    </bk>
    <bk>
      <extLst>
        <ext uri="{3e2802c4-a4d2-4d8b-9148-e3be6c30e623}">
          <xlrd:rvb i="172"/>
        </ext>
      </extLst>
    </bk>
    <bk>
      <extLst>
        <ext uri="{3e2802c4-a4d2-4d8b-9148-e3be6c30e623}">
          <xlrd:rvb i="173"/>
        </ext>
      </extLst>
    </bk>
    <bk>
      <extLst>
        <ext uri="{3e2802c4-a4d2-4d8b-9148-e3be6c30e623}">
          <xlrd:rvb i="174"/>
        </ext>
      </extLst>
    </bk>
    <bk>
      <extLst>
        <ext uri="{3e2802c4-a4d2-4d8b-9148-e3be6c30e623}">
          <xlrd:rvb i="175"/>
        </ext>
      </extLst>
    </bk>
    <bk>
      <extLst>
        <ext uri="{3e2802c4-a4d2-4d8b-9148-e3be6c30e623}">
          <xlrd:rvb i="176"/>
        </ext>
      </extLst>
    </bk>
    <bk>
      <extLst>
        <ext uri="{3e2802c4-a4d2-4d8b-9148-e3be6c30e623}">
          <xlrd:rvb i="177"/>
        </ext>
      </extLst>
    </bk>
    <bk>
      <extLst>
        <ext uri="{3e2802c4-a4d2-4d8b-9148-e3be6c30e623}">
          <xlrd:rvb i="178"/>
        </ext>
      </extLst>
    </bk>
    <bk>
      <extLst>
        <ext uri="{3e2802c4-a4d2-4d8b-9148-e3be6c30e623}">
          <xlrd:rvb i="179"/>
        </ext>
      </extLst>
    </bk>
    <bk>
      <extLst>
        <ext uri="{3e2802c4-a4d2-4d8b-9148-e3be6c30e623}">
          <xlrd:rvb i="180"/>
        </ext>
      </extLst>
    </bk>
    <bk>
      <extLst>
        <ext uri="{3e2802c4-a4d2-4d8b-9148-e3be6c30e623}">
          <xlrd:rvb i="181"/>
        </ext>
      </extLst>
    </bk>
    <bk>
      <extLst>
        <ext uri="{3e2802c4-a4d2-4d8b-9148-e3be6c30e623}">
          <xlrd:rvb i="182"/>
        </ext>
      </extLst>
    </bk>
    <bk>
      <extLst>
        <ext uri="{3e2802c4-a4d2-4d8b-9148-e3be6c30e623}">
          <xlrd:rvb i="183"/>
        </ext>
      </extLst>
    </bk>
    <bk>
      <extLst>
        <ext uri="{3e2802c4-a4d2-4d8b-9148-e3be6c30e623}">
          <xlrd:rvb i="184"/>
        </ext>
      </extLst>
    </bk>
    <bk>
      <extLst>
        <ext uri="{3e2802c4-a4d2-4d8b-9148-e3be6c30e623}">
          <xlrd:rvb i="185"/>
        </ext>
      </extLst>
    </bk>
    <bk>
      <extLst>
        <ext uri="{3e2802c4-a4d2-4d8b-9148-e3be6c30e623}">
          <xlrd:rvb i="186"/>
        </ext>
      </extLst>
    </bk>
    <bk>
      <extLst>
        <ext uri="{3e2802c4-a4d2-4d8b-9148-e3be6c30e623}">
          <xlrd:rvb i="187"/>
        </ext>
      </extLst>
    </bk>
    <bk>
      <extLst>
        <ext uri="{3e2802c4-a4d2-4d8b-9148-e3be6c30e623}">
          <xlrd:rvb i="188"/>
        </ext>
      </extLst>
    </bk>
    <bk>
      <extLst>
        <ext uri="{3e2802c4-a4d2-4d8b-9148-e3be6c30e623}">
          <xlrd:rvb i="189"/>
        </ext>
      </extLst>
    </bk>
    <bk>
      <extLst>
        <ext uri="{3e2802c4-a4d2-4d8b-9148-e3be6c30e623}">
          <xlrd:rvb i="190"/>
        </ext>
      </extLst>
    </bk>
    <bk>
      <extLst>
        <ext uri="{3e2802c4-a4d2-4d8b-9148-e3be6c30e623}">
          <xlrd:rvb i="191"/>
        </ext>
      </extLst>
    </bk>
    <bk>
      <extLst>
        <ext uri="{3e2802c4-a4d2-4d8b-9148-e3be6c30e623}">
          <xlrd:rvb i="192"/>
        </ext>
      </extLst>
    </bk>
    <bk>
      <extLst>
        <ext uri="{3e2802c4-a4d2-4d8b-9148-e3be6c30e623}">
          <xlrd:rvb i="193"/>
        </ext>
      </extLst>
    </bk>
    <bk>
      <extLst>
        <ext uri="{3e2802c4-a4d2-4d8b-9148-e3be6c30e623}">
          <xlrd:rvb i="194"/>
        </ext>
      </extLst>
    </bk>
    <bk>
      <extLst>
        <ext uri="{3e2802c4-a4d2-4d8b-9148-e3be6c30e623}">
          <xlrd:rvb i="195"/>
        </ext>
      </extLst>
    </bk>
    <bk>
      <extLst>
        <ext uri="{3e2802c4-a4d2-4d8b-9148-e3be6c30e623}">
          <xlrd:rvb i="196"/>
        </ext>
      </extLst>
    </bk>
    <bk>
      <extLst>
        <ext uri="{3e2802c4-a4d2-4d8b-9148-e3be6c30e623}">
          <xlrd:rvb i="197"/>
        </ext>
      </extLst>
    </bk>
    <bk>
      <extLst>
        <ext uri="{3e2802c4-a4d2-4d8b-9148-e3be6c30e623}">
          <xlrd:rvb i="198"/>
        </ext>
      </extLst>
    </bk>
    <bk>
      <extLst>
        <ext uri="{3e2802c4-a4d2-4d8b-9148-e3be6c30e623}">
          <xlrd:rvb i="199"/>
        </ext>
      </extLst>
    </bk>
    <bk>
      <extLst>
        <ext uri="{3e2802c4-a4d2-4d8b-9148-e3be6c30e623}">
          <xlrd:rvb i="200"/>
        </ext>
      </extLst>
    </bk>
    <bk>
      <extLst>
        <ext uri="{3e2802c4-a4d2-4d8b-9148-e3be6c30e623}">
          <xlrd:rvb i="201"/>
        </ext>
      </extLst>
    </bk>
    <bk>
      <extLst>
        <ext uri="{3e2802c4-a4d2-4d8b-9148-e3be6c30e623}">
          <xlrd:rvb i="202"/>
        </ext>
      </extLst>
    </bk>
    <bk>
      <extLst>
        <ext uri="{3e2802c4-a4d2-4d8b-9148-e3be6c30e623}">
          <xlrd:rvb i="203"/>
        </ext>
      </extLst>
    </bk>
    <bk>
      <extLst>
        <ext uri="{3e2802c4-a4d2-4d8b-9148-e3be6c30e623}">
          <xlrd:rvb i="204"/>
        </ext>
      </extLst>
    </bk>
    <bk>
      <extLst>
        <ext uri="{3e2802c4-a4d2-4d8b-9148-e3be6c30e623}">
          <xlrd:rvb i="205"/>
        </ext>
      </extLst>
    </bk>
    <bk>
      <extLst>
        <ext uri="{3e2802c4-a4d2-4d8b-9148-e3be6c30e623}">
          <xlrd:rvb i="206"/>
        </ext>
      </extLst>
    </bk>
    <bk>
      <extLst>
        <ext uri="{3e2802c4-a4d2-4d8b-9148-e3be6c30e623}">
          <xlrd:rvb i="207"/>
        </ext>
      </extLst>
    </bk>
    <bk>
      <extLst>
        <ext uri="{3e2802c4-a4d2-4d8b-9148-e3be6c30e623}">
          <xlrd:rvb i="208"/>
        </ext>
      </extLst>
    </bk>
    <bk>
      <extLst>
        <ext uri="{3e2802c4-a4d2-4d8b-9148-e3be6c30e623}">
          <xlrd:rvb i="209"/>
        </ext>
      </extLst>
    </bk>
    <bk>
      <extLst>
        <ext uri="{3e2802c4-a4d2-4d8b-9148-e3be6c30e623}">
          <xlrd:rvb i="210"/>
        </ext>
      </extLst>
    </bk>
    <bk>
      <extLst>
        <ext uri="{3e2802c4-a4d2-4d8b-9148-e3be6c30e623}">
          <xlrd:rvb i="211"/>
        </ext>
      </extLst>
    </bk>
    <bk>
      <extLst>
        <ext uri="{3e2802c4-a4d2-4d8b-9148-e3be6c30e623}">
          <xlrd:rvb i="212"/>
        </ext>
      </extLst>
    </bk>
    <bk>
      <extLst>
        <ext uri="{3e2802c4-a4d2-4d8b-9148-e3be6c30e623}">
          <xlrd:rvb i="213"/>
        </ext>
      </extLst>
    </bk>
    <bk>
      <extLst>
        <ext uri="{3e2802c4-a4d2-4d8b-9148-e3be6c30e623}">
          <xlrd:rvb i="214"/>
        </ext>
      </extLst>
    </bk>
    <bk>
      <extLst>
        <ext uri="{3e2802c4-a4d2-4d8b-9148-e3be6c30e623}">
          <xlrd:rvb i="215"/>
        </ext>
      </extLst>
    </bk>
    <bk>
      <extLst>
        <ext uri="{3e2802c4-a4d2-4d8b-9148-e3be6c30e623}">
          <xlrd:rvb i="216"/>
        </ext>
      </extLst>
    </bk>
    <bk>
      <extLst>
        <ext uri="{3e2802c4-a4d2-4d8b-9148-e3be6c30e623}">
          <xlrd:rvb i="217"/>
        </ext>
      </extLst>
    </bk>
    <bk>
      <extLst>
        <ext uri="{3e2802c4-a4d2-4d8b-9148-e3be6c30e623}">
          <xlrd:rvb i="218"/>
        </ext>
      </extLst>
    </bk>
    <bk>
      <extLst>
        <ext uri="{3e2802c4-a4d2-4d8b-9148-e3be6c30e623}">
          <xlrd:rvb i="219"/>
        </ext>
      </extLst>
    </bk>
    <bk>
      <extLst>
        <ext uri="{3e2802c4-a4d2-4d8b-9148-e3be6c30e623}">
          <xlrd:rvb i="220"/>
        </ext>
      </extLst>
    </bk>
    <bk>
      <extLst>
        <ext uri="{3e2802c4-a4d2-4d8b-9148-e3be6c30e623}">
          <xlrd:rvb i="221"/>
        </ext>
      </extLst>
    </bk>
    <bk>
      <extLst>
        <ext uri="{3e2802c4-a4d2-4d8b-9148-e3be6c30e623}">
          <xlrd:rvb i="222"/>
        </ext>
      </extLst>
    </bk>
    <bk>
      <extLst>
        <ext uri="{3e2802c4-a4d2-4d8b-9148-e3be6c30e623}">
          <xlrd:rvb i="223"/>
        </ext>
      </extLst>
    </bk>
    <bk>
      <extLst>
        <ext uri="{3e2802c4-a4d2-4d8b-9148-e3be6c30e623}">
          <xlrd:rvb i="224"/>
        </ext>
      </extLst>
    </bk>
    <bk>
      <extLst>
        <ext uri="{3e2802c4-a4d2-4d8b-9148-e3be6c30e623}">
          <xlrd:rvb i="225"/>
        </ext>
      </extLst>
    </bk>
    <bk>
      <extLst>
        <ext uri="{3e2802c4-a4d2-4d8b-9148-e3be6c30e623}">
          <xlrd:rvb i="226"/>
        </ext>
      </extLst>
    </bk>
    <bk>
      <extLst>
        <ext uri="{3e2802c4-a4d2-4d8b-9148-e3be6c30e623}">
          <xlrd:rvb i="227"/>
        </ext>
      </extLst>
    </bk>
    <bk>
      <extLst>
        <ext uri="{3e2802c4-a4d2-4d8b-9148-e3be6c30e623}">
          <xlrd:rvb i="228"/>
        </ext>
      </extLst>
    </bk>
    <bk>
      <extLst>
        <ext uri="{3e2802c4-a4d2-4d8b-9148-e3be6c30e623}">
          <xlrd:rvb i="229"/>
        </ext>
      </extLst>
    </bk>
    <bk>
      <extLst>
        <ext uri="{3e2802c4-a4d2-4d8b-9148-e3be6c30e623}">
          <xlrd:rvb i="230"/>
        </ext>
      </extLst>
    </bk>
    <bk>
      <extLst>
        <ext uri="{3e2802c4-a4d2-4d8b-9148-e3be6c30e623}">
          <xlrd:rvb i="231"/>
        </ext>
      </extLst>
    </bk>
    <bk>
      <extLst>
        <ext uri="{3e2802c4-a4d2-4d8b-9148-e3be6c30e623}">
          <xlrd:rvb i="232"/>
        </ext>
      </extLst>
    </bk>
    <bk>
      <extLst>
        <ext uri="{3e2802c4-a4d2-4d8b-9148-e3be6c30e623}">
          <xlrd:rvb i="233"/>
        </ext>
      </extLst>
    </bk>
    <bk>
      <extLst>
        <ext uri="{3e2802c4-a4d2-4d8b-9148-e3be6c30e623}">
          <xlrd:rvb i="234"/>
        </ext>
      </extLst>
    </bk>
    <bk>
      <extLst>
        <ext uri="{3e2802c4-a4d2-4d8b-9148-e3be6c30e623}">
          <xlrd:rvb i="235"/>
        </ext>
      </extLst>
    </bk>
    <bk>
      <extLst>
        <ext uri="{3e2802c4-a4d2-4d8b-9148-e3be6c30e623}">
          <xlrd:rvb i="236"/>
        </ext>
      </extLst>
    </bk>
    <bk>
      <extLst>
        <ext uri="{3e2802c4-a4d2-4d8b-9148-e3be6c30e623}">
          <xlrd:rvb i="237"/>
        </ext>
      </extLst>
    </bk>
    <bk>
      <extLst>
        <ext uri="{3e2802c4-a4d2-4d8b-9148-e3be6c30e623}">
          <xlrd:rvb i="238"/>
        </ext>
      </extLst>
    </bk>
    <bk>
      <extLst>
        <ext uri="{3e2802c4-a4d2-4d8b-9148-e3be6c30e623}">
          <xlrd:rvb i="239"/>
        </ext>
      </extLst>
    </bk>
    <bk>
      <extLst>
        <ext uri="{3e2802c4-a4d2-4d8b-9148-e3be6c30e623}">
          <xlrd:rvb i="240"/>
        </ext>
      </extLst>
    </bk>
    <bk>
      <extLst>
        <ext uri="{3e2802c4-a4d2-4d8b-9148-e3be6c30e623}">
          <xlrd:rvb i="241"/>
        </ext>
      </extLst>
    </bk>
    <bk>
      <extLst>
        <ext uri="{3e2802c4-a4d2-4d8b-9148-e3be6c30e623}">
          <xlrd:rvb i="242"/>
        </ext>
      </extLst>
    </bk>
    <bk>
      <extLst>
        <ext uri="{3e2802c4-a4d2-4d8b-9148-e3be6c30e623}">
          <xlrd:rvb i="243"/>
        </ext>
      </extLst>
    </bk>
    <bk>
      <extLst>
        <ext uri="{3e2802c4-a4d2-4d8b-9148-e3be6c30e623}">
          <xlrd:rvb i="244"/>
        </ext>
      </extLst>
    </bk>
    <bk>
      <extLst>
        <ext uri="{3e2802c4-a4d2-4d8b-9148-e3be6c30e623}">
          <xlrd:rvb i="245"/>
        </ext>
      </extLst>
    </bk>
    <bk>
      <extLst>
        <ext uri="{3e2802c4-a4d2-4d8b-9148-e3be6c30e623}">
          <xlrd:rvb i="246"/>
        </ext>
      </extLst>
    </bk>
    <bk>
      <extLst>
        <ext uri="{3e2802c4-a4d2-4d8b-9148-e3be6c30e623}">
          <xlrd:rvb i="247"/>
        </ext>
      </extLst>
    </bk>
    <bk>
      <extLst>
        <ext uri="{3e2802c4-a4d2-4d8b-9148-e3be6c30e623}">
          <xlrd:rvb i="250"/>
        </ext>
      </extLst>
    </bk>
    <bk>
      <extLst>
        <ext uri="{3e2802c4-a4d2-4d8b-9148-e3be6c30e623}">
          <xlrd:rvb i="251"/>
        </ext>
      </extLst>
    </bk>
    <bk>
      <extLst>
        <ext uri="{3e2802c4-a4d2-4d8b-9148-e3be6c30e623}">
          <xlrd:rvb i="252"/>
        </ext>
      </extLst>
    </bk>
    <bk>
      <extLst>
        <ext uri="{3e2802c4-a4d2-4d8b-9148-e3be6c30e623}">
          <xlrd:rvb i="253"/>
        </ext>
      </extLst>
    </bk>
    <bk>
      <extLst>
        <ext uri="{3e2802c4-a4d2-4d8b-9148-e3be6c30e623}">
          <xlrd:rvb i="254"/>
        </ext>
      </extLst>
    </bk>
    <bk>
      <extLst>
        <ext uri="{3e2802c4-a4d2-4d8b-9148-e3be6c30e623}">
          <xlrd:rvb i="255"/>
        </ext>
      </extLst>
    </bk>
    <bk>
      <extLst>
        <ext uri="{3e2802c4-a4d2-4d8b-9148-e3be6c30e623}">
          <xlrd:rvb i="256"/>
        </ext>
      </extLst>
    </bk>
    <bk>
      <extLst>
        <ext uri="{3e2802c4-a4d2-4d8b-9148-e3be6c30e623}">
          <xlrd:rvb i="257"/>
        </ext>
      </extLst>
    </bk>
    <bk>
      <extLst>
        <ext uri="{3e2802c4-a4d2-4d8b-9148-e3be6c30e623}">
          <xlrd:rvb i="258"/>
        </ext>
      </extLst>
    </bk>
    <bk>
      <extLst>
        <ext uri="{3e2802c4-a4d2-4d8b-9148-e3be6c30e623}">
          <xlrd:rvb i="259"/>
        </ext>
      </extLst>
    </bk>
    <bk>
      <extLst>
        <ext uri="{3e2802c4-a4d2-4d8b-9148-e3be6c30e623}">
          <xlrd:rvb i="260"/>
        </ext>
      </extLst>
    </bk>
    <bk>
      <extLst>
        <ext uri="{3e2802c4-a4d2-4d8b-9148-e3be6c30e623}">
          <xlrd:rvb i="261"/>
        </ext>
      </extLst>
    </bk>
    <bk>
      <extLst>
        <ext uri="{3e2802c4-a4d2-4d8b-9148-e3be6c30e623}">
          <xlrd:rvb i="262"/>
        </ext>
      </extLst>
    </bk>
    <bk>
      <extLst>
        <ext uri="{3e2802c4-a4d2-4d8b-9148-e3be6c30e623}">
          <xlrd:rvb i="263"/>
        </ext>
      </extLst>
    </bk>
    <bk>
      <extLst>
        <ext uri="{3e2802c4-a4d2-4d8b-9148-e3be6c30e623}">
          <xlrd:rvb i="264"/>
        </ext>
      </extLst>
    </bk>
    <bk>
      <extLst>
        <ext uri="{3e2802c4-a4d2-4d8b-9148-e3be6c30e623}">
          <xlrd:rvb i="265"/>
        </ext>
      </extLst>
    </bk>
    <bk>
      <extLst>
        <ext uri="{3e2802c4-a4d2-4d8b-9148-e3be6c30e623}">
          <xlrd:rvb i="266"/>
        </ext>
      </extLst>
    </bk>
    <bk>
      <extLst>
        <ext uri="{3e2802c4-a4d2-4d8b-9148-e3be6c30e623}">
          <xlrd:rvb i="267"/>
        </ext>
      </extLst>
    </bk>
    <bk>
      <extLst>
        <ext uri="{3e2802c4-a4d2-4d8b-9148-e3be6c30e623}">
          <xlrd:rvb i="268"/>
        </ext>
      </extLst>
    </bk>
    <bk>
      <extLst>
        <ext uri="{3e2802c4-a4d2-4d8b-9148-e3be6c30e623}">
          <xlrd:rvb i="269"/>
        </ext>
      </extLst>
    </bk>
    <bk>
      <extLst>
        <ext uri="{3e2802c4-a4d2-4d8b-9148-e3be6c30e623}">
          <xlrd:rvb i="270"/>
        </ext>
      </extLst>
    </bk>
    <bk>
      <extLst>
        <ext uri="{3e2802c4-a4d2-4d8b-9148-e3be6c30e623}">
          <xlrd:rvb i="271"/>
        </ext>
      </extLst>
    </bk>
    <bk>
      <extLst>
        <ext uri="{3e2802c4-a4d2-4d8b-9148-e3be6c30e623}">
          <xlrd:rvb i="272"/>
        </ext>
      </extLst>
    </bk>
    <bk>
      <extLst>
        <ext uri="{3e2802c4-a4d2-4d8b-9148-e3be6c30e623}">
          <xlrd:rvb i="273"/>
        </ext>
      </extLst>
    </bk>
    <bk>
      <extLst>
        <ext uri="{3e2802c4-a4d2-4d8b-9148-e3be6c30e623}">
          <xlrd:rvb i="274"/>
        </ext>
      </extLst>
    </bk>
    <bk>
      <extLst>
        <ext uri="{3e2802c4-a4d2-4d8b-9148-e3be6c30e623}">
          <xlrd:rvb i="275"/>
        </ext>
      </extLst>
    </bk>
    <bk>
      <extLst>
        <ext uri="{3e2802c4-a4d2-4d8b-9148-e3be6c30e623}">
          <xlrd:rvb i="276"/>
        </ext>
      </extLst>
    </bk>
    <bk>
      <extLst>
        <ext uri="{3e2802c4-a4d2-4d8b-9148-e3be6c30e623}">
          <xlrd:rvb i="277"/>
        </ext>
      </extLst>
    </bk>
    <bk>
      <extLst>
        <ext uri="{3e2802c4-a4d2-4d8b-9148-e3be6c30e623}">
          <xlrd:rvb i="278"/>
        </ext>
      </extLst>
    </bk>
    <bk>
      <extLst>
        <ext uri="{3e2802c4-a4d2-4d8b-9148-e3be6c30e623}">
          <xlrd:rvb i="279"/>
        </ext>
      </extLst>
    </bk>
    <bk>
      <extLst>
        <ext uri="{3e2802c4-a4d2-4d8b-9148-e3be6c30e623}">
          <xlrd:rvb i="280"/>
        </ext>
      </extLst>
    </bk>
    <bk>
      <extLst>
        <ext uri="{3e2802c4-a4d2-4d8b-9148-e3be6c30e623}">
          <xlrd:rvb i="281"/>
        </ext>
      </extLst>
    </bk>
    <bk>
      <extLst>
        <ext uri="{3e2802c4-a4d2-4d8b-9148-e3be6c30e623}">
          <xlrd:rvb i="282"/>
        </ext>
      </extLst>
    </bk>
    <bk>
      <extLst>
        <ext uri="{3e2802c4-a4d2-4d8b-9148-e3be6c30e623}">
          <xlrd:rvb i="283"/>
        </ext>
      </extLst>
    </bk>
    <bk>
      <extLst>
        <ext uri="{3e2802c4-a4d2-4d8b-9148-e3be6c30e623}">
          <xlrd:rvb i="284"/>
        </ext>
      </extLst>
    </bk>
    <bk>
      <extLst>
        <ext uri="{3e2802c4-a4d2-4d8b-9148-e3be6c30e623}">
          <xlrd:rvb i="285"/>
        </ext>
      </extLst>
    </bk>
    <bk>
      <extLst>
        <ext uri="{3e2802c4-a4d2-4d8b-9148-e3be6c30e623}">
          <xlrd:rvb i="286"/>
        </ext>
      </extLst>
    </bk>
    <bk>
      <extLst>
        <ext uri="{3e2802c4-a4d2-4d8b-9148-e3be6c30e623}">
          <xlrd:rvb i="287"/>
        </ext>
      </extLst>
    </bk>
    <bk>
      <extLst>
        <ext uri="{3e2802c4-a4d2-4d8b-9148-e3be6c30e623}">
          <xlrd:rvb i="288"/>
        </ext>
      </extLst>
    </bk>
    <bk>
      <extLst>
        <ext uri="{3e2802c4-a4d2-4d8b-9148-e3be6c30e623}">
          <xlrd:rvb i="289"/>
        </ext>
      </extLst>
    </bk>
    <bk>
      <extLst>
        <ext uri="{3e2802c4-a4d2-4d8b-9148-e3be6c30e623}">
          <xlrd:rvb i="290"/>
        </ext>
      </extLst>
    </bk>
    <bk>
      <extLst>
        <ext uri="{3e2802c4-a4d2-4d8b-9148-e3be6c30e623}">
          <xlrd:rvb i="291"/>
        </ext>
      </extLst>
    </bk>
    <bk>
      <extLst>
        <ext uri="{3e2802c4-a4d2-4d8b-9148-e3be6c30e623}">
          <xlrd:rvb i="292"/>
        </ext>
      </extLst>
    </bk>
    <bk>
      <extLst>
        <ext uri="{3e2802c4-a4d2-4d8b-9148-e3be6c30e623}">
          <xlrd:rvb i="293"/>
        </ext>
      </extLst>
    </bk>
    <bk>
      <extLst>
        <ext uri="{3e2802c4-a4d2-4d8b-9148-e3be6c30e623}">
          <xlrd:rvb i="294"/>
        </ext>
      </extLst>
    </bk>
    <bk>
      <extLst>
        <ext uri="{3e2802c4-a4d2-4d8b-9148-e3be6c30e623}">
          <xlrd:rvb i="295"/>
        </ext>
      </extLst>
    </bk>
    <bk>
      <extLst>
        <ext uri="{3e2802c4-a4d2-4d8b-9148-e3be6c30e623}">
          <xlrd:rvb i="296"/>
        </ext>
      </extLst>
    </bk>
    <bk>
      <extLst>
        <ext uri="{3e2802c4-a4d2-4d8b-9148-e3be6c30e623}">
          <xlrd:rvb i="297"/>
        </ext>
      </extLst>
    </bk>
    <bk>
      <extLst>
        <ext uri="{3e2802c4-a4d2-4d8b-9148-e3be6c30e623}">
          <xlrd:rvb i="298"/>
        </ext>
      </extLst>
    </bk>
    <bk>
      <extLst>
        <ext uri="{3e2802c4-a4d2-4d8b-9148-e3be6c30e623}">
          <xlrd:rvb i="299"/>
        </ext>
      </extLst>
    </bk>
    <bk>
      <extLst>
        <ext uri="{3e2802c4-a4d2-4d8b-9148-e3be6c30e623}">
          <xlrd:rvb i="300"/>
        </ext>
      </extLst>
    </bk>
    <bk>
      <extLst>
        <ext uri="{3e2802c4-a4d2-4d8b-9148-e3be6c30e623}">
          <xlrd:rvb i="301"/>
        </ext>
      </extLst>
    </bk>
    <bk>
      <extLst>
        <ext uri="{3e2802c4-a4d2-4d8b-9148-e3be6c30e623}">
          <xlrd:rvb i="302"/>
        </ext>
      </extLst>
    </bk>
    <bk>
      <extLst>
        <ext uri="{3e2802c4-a4d2-4d8b-9148-e3be6c30e623}">
          <xlrd:rvb i="303"/>
        </ext>
      </extLst>
    </bk>
    <bk>
      <extLst>
        <ext uri="{3e2802c4-a4d2-4d8b-9148-e3be6c30e623}">
          <xlrd:rvb i="304"/>
        </ext>
      </extLst>
    </bk>
    <bk>
      <extLst>
        <ext uri="{3e2802c4-a4d2-4d8b-9148-e3be6c30e623}">
          <xlrd:rvb i="305"/>
        </ext>
      </extLst>
    </bk>
    <bk>
      <extLst>
        <ext uri="{3e2802c4-a4d2-4d8b-9148-e3be6c30e623}">
          <xlrd:rvb i="306"/>
        </ext>
      </extLst>
    </bk>
    <bk>
      <extLst>
        <ext uri="{3e2802c4-a4d2-4d8b-9148-e3be6c30e623}">
          <xlrd:rvb i="307"/>
        </ext>
      </extLst>
    </bk>
    <bk>
      <extLst>
        <ext uri="{3e2802c4-a4d2-4d8b-9148-e3be6c30e623}">
          <xlrd:rvb i="308"/>
        </ext>
      </extLst>
    </bk>
    <bk>
      <extLst>
        <ext uri="{3e2802c4-a4d2-4d8b-9148-e3be6c30e623}">
          <xlrd:rvb i="309"/>
        </ext>
      </extLst>
    </bk>
    <bk>
      <extLst>
        <ext uri="{3e2802c4-a4d2-4d8b-9148-e3be6c30e623}">
          <xlrd:rvb i="310"/>
        </ext>
      </extLst>
    </bk>
    <bk>
      <extLst>
        <ext uri="{3e2802c4-a4d2-4d8b-9148-e3be6c30e623}">
          <xlrd:rvb i="313"/>
        </ext>
      </extLst>
    </bk>
    <bk>
      <extLst>
        <ext uri="{3e2802c4-a4d2-4d8b-9148-e3be6c30e623}">
          <xlrd:rvb i="314"/>
        </ext>
      </extLst>
    </bk>
    <bk>
      <extLst>
        <ext uri="{3e2802c4-a4d2-4d8b-9148-e3be6c30e623}">
          <xlrd:rvb i="315"/>
        </ext>
      </extLst>
    </bk>
    <bk>
      <extLst>
        <ext uri="{3e2802c4-a4d2-4d8b-9148-e3be6c30e623}">
          <xlrd:rvb i="316"/>
        </ext>
      </extLst>
    </bk>
    <bk>
      <extLst>
        <ext uri="{3e2802c4-a4d2-4d8b-9148-e3be6c30e623}">
          <xlrd:rvb i="317"/>
        </ext>
      </extLst>
    </bk>
    <bk>
      <extLst>
        <ext uri="{3e2802c4-a4d2-4d8b-9148-e3be6c30e623}">
          <xlrd:rvb i="318"/>
        </ext>
      </extLst>
    </bk>
    <bk>
      <extLst>
        <ext uri="{3e2802c4-a4d2-4d8b-9148-e3be6c30e623}">
          <xlrd:rvb i="319"/>
        </ext>
      </extLst>
    </bk>
    <bk>
      <extLst>
        <ext uri="{3e2802c4-a4d2-4d8b-9148-e3be6c30e623}">
          <xlrd:rvb i="320"/>
        </ext>
      </extLst>
    </bk>
    <bk>
      <extLst>
        <ext uri="{3e2802c4-a4d2-4d8b-9148-e3be6c30e623}">
          <xlrd:rvb i="321"/>
        </ext>
      </extLst>
    </bk>
    <bk>
      <extLst>
        <ext uri="{3e2802c4-a4d2-4d8b-9148-e3be6c30e623}">
          <xlrd:rvb i="322"/>
        </ext>
      </extLst>
    </bk>
    <bk>
      <extLst>
        <ext uri="{3e2802c4-a4d2-4d8b-9148-e3be6c30e623}">
          <xlrd:rvb i="323"/>
        </ext>
      </extLst>
    </bk>
    <bk>
      <extLst>
        <ext uri="{3e2802c4-a4d2-4d8b-9148-e3be6c30e623}">
          <xlrd:rvb i="324"/>
        </ext>
      </extLst>
    </bk>
    <bk>
      <extLst>
        <ext uri="{3e2802c4-a4d2-4d8b-9148-e3be6c30e623}">
          <xlrd:rvb i="325"/>
        </ext>
      </extLst>
    </bk>
    <bk>
      <extLst>
        <ext uri="{3e2802c4-a4d2-4d8b-9148-e3be6c30e623}">
          <xlrd:rvb i="326"/>
        </ext>
      </extLst>
    </bk>
    <bk>
      <extLst>
        <ext uri="{3e2802c4-a4d2-4d8b-9148-e3be6c30e623}">
          <xlrd:rvb i="327"/>
        </ext>
      </extLst>
    </bk>
    <bk>
      <extLst>
        <ext uri="{3e2802c4-a4d2-4d8b-9148-e3be6c30e623}">
          <xlrd:rvb i="328"/>
        </ext>
      </extLst>
    </bk>
    <bk>
      <extLst>
        <ext uri="{3e2802c4-a4d2-4d8b-9148-e3be6c30e623}">
          <xlrd:rvb i="329"/>
        </ext>
      </extLst>
    </bk>
    <bk>
      <extLst>
        <ext uri="{3e2802c4-a4d2-4d8b-9148-e3be6c30e623}">
          <xlrd:rvb i="330"/>
        </ext>
      </extLst>
    </bk>
    <bk>
      <extLst>
        <ext uri="{3e2802c4-a4d2-4d8b-9148-e3be6c30e623}">
          <xlrd:rvb i="331"/>
        </ext>
      </extLst>
    </bk>
    <bk>
      <extLst>
        <ext uri="{3e2802c4-a4d2-4d8b-9148-e3be6c30e623}">
          <xlrd:rvb i="332"/>
        </ext>
      </extLst>
    </bk>
    <bk>
      <extLst>
        <ext uri="{3e2802c4-a4d2-4d8b-9148-e3be6c30e623}">
          <xlrd:rvb i="333"/>
        </ext>
      </extLst>
    </bk>
    <bk>
      <extLst>
        <ext uri="{3e2802c4-a4d2-4d8b-9148-e3be6c30e623}">
          <xlrd:rvb i="334"/>
        </ext>
      </extLst>
    </bk>
    <bk>
      <extLst>
        <ext uri="{3e2802c4-a4d2-4d8b-9148-e3be6c30e623}">
          <xlrd:rvb i="335"/>
        </ext>
      </extLst>
    </bk>
    <bk>
      <extLst>
        <ext uri="{3e2802c4-a4d2-4d8b-9148-e3be6c30e623}">
          <xlrd:rvb i="336"/>
        </ext>
      </extLst>
    </bk>
    <bk>
      <extLst>
        <ext uri="{3e2802c4-a4d2-4d8b-9148-e3be6c30e623}">
          <xlrd:rvb i="337"/>
        </ext>
      </extLst>
    </bk>
    <bk>
      <extLst>
        <ext uri="{3e2802c4-a4d2-4d8b-9148-e3be6c30e623}">
          <xlrd:rvb i="338"/>
        </ext>
      </extLst>
    </bk>
    <bk>
      <extLst>
        <ext uri="{3e2802c4-a4d2-4d8b-9148-e3be6c30e623}">
          <xlrd:rvb i="339"/>
        </ext>
      </extLst>
    </bk>
    <bk>
      <extLst>
        <ext uri="{3e2802c4-a4d2-4d8b-9148-e3be6c30e623}">
          <xlrd:rvb i="340"/>
        </ext>
      </extLst>
    </bk>
    <bk>
      <extLst>
        <ext uri="{3e2802c4-a4d2-4d8b-9148-e3be6c30e623}">
          <xlrd:rvb i="341"/>
        </ext>
      </extLst>
    </bk>
    <bk>
      <extLst>
        <ext uri="{3e2802c4-a4d2-4d8b-9148-e3be6c30e623}">
          <xlrd:rvb i="342"/>
        </ext>
      </extLst>
    </bk>
    <bk>
      <extLst>
        <ext uri="{3e2802c4-a4d2-4d8b-9148-e3be6c30e623}">
          <xlrd:rvb i="343"/>
        </ext>
      </extLst>
    </bk>
    <bk>
      <extLst>
        <ext uri="{3e2802c4-a4d2-4d8b-9148-e3be6c30e623}">
          <xlrd:rvb i="344"/>
        </ext>
      </extLst>
    </bk>
    <bk>
      <extLst>
        <ext uri="{3e2802c4-a4d2-4d8b-9148-e3be6c30e623}">
          <xlrd:rvb i="345"/>
        </ext>
      </extLst>
    </bk>
    <bk>
      <extLst>
        <ext uri="{3e2802c4-a4d2-4d8b-9148-e3be6c30e623}">
          <xlrd:rvb i="346"/>
        </ext>
      </extLst>
    </bk>
    <bk>
      <extLst>
        <ext uri="{3e2802c4-a4d2-4d8b-9148-e3be6c30e623}">
          <xlrd:rvb i="347"/>
        </ext>
      </extLst>
    </bk>
    <bk>
      <extLst>
        <ext uri="{3e2802c4-a4d2-4d8b-9148-e3be6c30e623}">
          <xlrd:rvb i="348"/>
        </ext>
      </extLst>
    </bk>
    <bk>
      <extLst>
        <ext uri="{3e2802c4-a4d2-4d8b-9148-e3be6c30e623}">
          <xlrd:rvb i="349"/>
        </ext>
      </extLst>
    </bk>
    <bk>
      <extLst>
        <ext uri="{3e2802c4-a4d2-4d8b-9148-e3be6c30e623}">
          <xlrd:rvb i="350"/>
        </ext>
      </extLst>
    </bk>
    <bk>
      <extLst>
        <ext uri="{3e2802c4-a4d2-4d8b-9148-e3be6c30e623}">
          <xlrd:rvb i="351"/>
        </ext>
      </extLst>
    </bk>
    <bk>
      <extLst>
        <ext uri="{3e2802c4-a4d2-4d8b-9148-e3be6c30e623}">
          <xlrd:rvb i="352"/>
        </ext>
      </extLst>
    </bk>
    <bk>
      <extLst>
        <ext uri="{3e2802c4-a4d2-4d8b-9148-e3be6c30e623}">
          <xlrd:rvb i="353"/>
        </ext>
      </extLst>
    </bk>
    <bk>
      <extLst>
        <ext uri="{3e2802c4-a4d2-4d8b-9148-e3be6c30e623}">
          <xlrd:rvb i="354"/>
        </ext>
      </extLst>
    </bk>
    <bk>
      <extLst>
        <ext uri="{3e2802c4-a4d2-4d8b-9148-e3be6c30e623}">
          <xlrd:rvb i="355"/>
        </ext>
      </extLst>
    </bk>
    <bk>
      <extLst>
        <ext uri="{3e2802c4-a4d2-4d8b-9148-e3be6c30e623}">
          <xlrd:rvb i="356"/>
        </ext>
      </extLst>
    </bk>
    <bk>
      <extLst>
        <ext uri="{3e2802c4-a4d2-4d8b-9148-e3be6c30e623}">
          <xlrd:rvb i="357"/>
        </ext>
      </extLst>
    </bk>
    <bk>
      <extLst>
        <ext uri="{3e2802c4-a4d2-4d8b-9148-e3be6c30e623}">
          <xlrd:rvb i="358"/>
        </ext>
      </extLst>
    </bk>
    <bk>
      <extLst>
        <ext uri="{3e2802c4-a4d2-4d8b-9148-e3be6c30e623}">
          <xlrd:rvb i="359"/>
        </ext>
      </extLst>
    </bk>
    <bk>
      <extLst>
        <ext uri="{3e2802c4-a4d2-4d8b-9148-e3be6c30e623}">
          <xlrd:rvb i="360"/>
        </ext>
      </extLst>
    </bk>
    <bk>
      <extLst>
        <ext uri="{3e2802c4-a4d2-4d8b-9148-e3be6c30e623}">
          <xlrd:rvb i="361"/>
        </ext>
      </extLst>
    </bk>
    <bk>
      <extLst>
        <ext uri="{3e2802c4-a4d2-4d8b-9148-e3be6c30e623}">
          <xlrd:rvb i="362"/>
        </ext>
      </extLst>
    </bk>
    <bk>
      <extLst>
        <ext uri="{3e2802c4-a4d2-4d8b-9148-e3be6c30e623}">
          <xlrd:rvb i="363"/>
        </ext>
      </extLst>
    </bk>
    <bk>
      <extLst>
        <ext uri="{3e2802c4-a4d2-4d8b-9148-e3be6c30e623}">
          <xlrd:rvb i="364"/>
        </ext>
      </extLst>
    </bk>
    <bk>
      <extLst>
        <ext uri="{3e2802c4-a4d2-4d8b-9148-e3be6c30e623}">
          <xlrd:rvb i="365"/>
        </ext>
      </extLst>
    </bk>
    <bk>
      <extLst>
        <ext uri="{3e2802c4-a4d2-4d8b-9148-e3be6c30e623}">
          <xlrd:rvb i="366"/>
        </ext>
      </extLst>
    </bk>
    <bk>
      <extLst>
        <ext uri="{3e2802c4-a4d2-4d8b-9148-e3be6c30e623}">
          <xlrd:rvb i="367"/>
        </ext>
      </extLst>
    </bk>
    <bk>
      <extLst>
        <ext uri="{3e2802c4-a4d2-4d8b-9148-e3be6c30e623}">
          <xlrd:rvb i="368"/>
        </ext>
      </extLst>
    </bk>
    <bk>
      <extLst>
        <ext uri="{3e2802c4-a4d2-4d8b-9148-e3be6c30e623}">
          <xlrd:rvb i="369"/>
        </ext>
      </extLst>
    </bk>
    <bk>
      <extLst>
        <ext uri="{3e2802c4-a4d2-4d8b-9148-e3be6c30e623}">
          <xlrd:rvb i="370"/>
        </ext>
      </extLst>
    </bk>
    <bk>
      <extLst>
        <ext uri="{3e2802c4-a4d2-4d8b-9148-e3be6c30e623}">
          <xlrd:rvb i="371"/>
        </ext>
      </extLst>
    </bk>
    <bk>
      <extLst>
        <ext uri="{3e2802c4-a4d2-4d8b-9148-e3be6c30e623}">
          <xlrd:rvb i="372"/>
        </ext>
      </extLst>
    </bk>
    <bk>
      <extLst>
        <ext uri="{3e2802c4-a4d2-4d8b-9148-e3be6c30e623}">
          <xlrd:rvb i="373"/>
        </ext>
      </extLst>
    </bk>
    <bk>
      <extLst>
        <ext uri="{3e2802c4-a4d2-4d8b-9148-e3be6c30e623}">
          <xlrd:rvb i="374"/>
        </ext>
      </extLst>
    </bk>
    <bk>
      <extLst>
        <ext uri="{3e2802c4-a4d2-4d8b-9148-e3be6c30e623}">
          <xlrd:rvb i="381"/>
        </ext>
      </extLst>
    </bk>
    <bk>
      <extLst>
        <ext uri="{3e2802c4-a4d2-4d8b-9148-e3be6c30e623}">
          <xlrd:rvb i="382"/>
        </ext>
      </extLst>
    </bk>
    <bk>
      <extLst>
        <ext uri="{3e2802c4-a4d2-4d8b-9148-e3be6c30e623}">
          <xlrd:rvb i="383"/>
        </ext>
      </extLst>
    </bk>
    <bk>
      <extLst>
        <ext uri="{3e2802c4-a4d2-4d8b-9148-e3be6c30e623}">
          <xlrd:rvb i="384"/>
        </ext>
      </extLst>
    </bk>
    <bk>
      <extLst>
        <ext uri="{3e2802c4-a4d2-4d8b-9148-e3be6c30e623}">
          <xlrd:rvb i="385"/>
        </ext>
      </extLst>
    </bk>
    <bk>
      <extLst>
        <ext uri="{3e2802c4-a4d2-4d8b-9148-e3be6c30e623}">
          <xlrd:rvb i="386"/>
        </ext>
      </extLst>
    </bk>
    <bk>
      <extLst>
        <ext uri="{3e2802c4-a4d2-4d8b-9148-e3be6c30e623}">
          <xlrd:rvb i="387"/>
        </ext>
      </extLst>
    </bk>
    <bk>
      <extLst>
        <ext uri="{3e2802c4-a4d2-4d8b-9148-e3be6c30e623}">
          <xlrd:rvb i="388"/>
        </ext>
      </extLst>
    </bk>
    <bk>
      <extLst>
        <ext uri="{3e2802c4-a4d2-4d8b-9148-e3be6c30e623}">
          <xlrd:rvb i="389"/>
        </ext>
      </extLst>
    </bk>
    <bk>
      <extLst>
        <ext uri="{3e2802c4-a4d2-4d8b-9148-e3be6c30e623}">
          <xlrd:rvb i="390"/>
        </ext>
      </extLst>
    </bk>
    <bk>
      <extLst>
        <ext uri="{3e2802c4-a4d2-4d8b-9148-e3be6c30e623}">
          <xlrd:rvb i="391"/>
        </ext>
      </extLst>
    </bk>
    <bk>
      <extLst>
        <ext uri="{3e2802c4-a4d2-4d8b-9148-e3be6c30e623}">
          <xlrd:rvb i="392"/>
        </ext>
      </extLst>
    </bk>
    <bk>
      <extLst>
        <ext uri="{3e2802c4-a4d2-4d8b-9148-e3be6c30e623}">
          <xlrd:rvb i="393"/>
        </ext>
      </extLst>
    </bk>
    <bk>
      <extLst>
        <ext uri="{3e2802c4-a4d2-4d8b-9148-e3be6c30e623}">
          <xlrd:rvb i="394"/>
        </ext>
      </extLst>
    </bk>
    <bk>
      <extLst>
        <ext uri="{3e2802c4-a4d2-4d8b-9148-e3be6c30e623}">
          <xlrd:rvb i="395"/>
        </ext>
      </extLst>
    </bk>
    <bk>
      <extLst>
        <ext uri="{3e2802c4-a4d2-4d8b-9148-e3be6c30e623}">
          <xlrd:rvb i="396"/>
        </ext>
      </extLst>
    </bk>
    <bk>
      <extLst>
        <ext uri="{3e2802c4-a4d2-4d8b-9148-e3be6c30e623}">
          <xlrd:rvb i="397"/>
        </ext>
      </extLst>
    </bk>
    <bk>
      <extLst>
        <ext uri="{3e2802c4-a4d2-4d8b-9148-e3be6c30e623}">
          <xlrd:rvb i="398"/>
        </ext>
      </extLst>
    </bk>
    <bk>
      <extLst>
        <ext uri="{3e2802c4-a4d2-4d8b-9148-e3be6c30e623}">
          <xlrd:rvb i="399"/>
        </ext>
      </extLst>
    </bk>
    <bk>
      <extLst>
        <ext uri="{3e2802c4-a4d2-4d8b-9148-e3be6c30e623}">
          <xlrd:rvb i="400"/>
        </ext>
      </extLst>
    </bk>
    <bk>
      <extLst>
        <ext uri="{3e2802c4-a4d2-4d8b-9148-e3be6c30e623}">
          <xlrd:rvb i="401"/>
        </ext>
      </extLst>
    </bk>
    <bk>
      <extLst>
        <ext uri="{3e2802c4-a4d2-4d8b-9148-e3be6c30e623}">
          <xlrd:rvb i="402"/>
        </ext>
      </extLst>
    </bk>
    <bk>
      <extLst>
        <ext uri="{3e2802c4-a4d2-4d8b-9148-e3be6c30e623}">
          <xlrd:rvb i="403"/>
        </ext>
      </extLst>
    </bk>
    <bk>
      <extLst>
        <ext uri="{3e2802c4-a4d2-4d8b-9148-e3be6c30e623}">
          <xlrd:rvb i="404"/>
        </ext>
      </extLst>
    </bk>
    <bk>
      <extLst>
        <ext uri="{3e2802c4-a4d2-4d8b-9148-e3be6c30e623}">
          <xlrd:rvb i="405"/>
        </ext>
      </extLst>
    </bk>
    <bk>
      <extLst>
        <ext uri="{3e2802c4-a4d2-4d8b-9148-e3be6c30e623}">
          <xlrd:rvb i="406"/>
        </ext>
      </extLst>
    </bk>
    <bk>
      <extLst>
        <ext uri="{3e2802c4-a4d2-4d8b-9148-e3be6c30e623}">
          <xlrd:rvb i="407"/>
        </ext>
      </extLst>
    </bk>
    <bk>
      <extLst>
        <ext uri="{3e2802c4-a4d2-4d8b-9148-e3be6c30e623}">
          <xlrd:rvb i="408"/>
        </ext>
      </extLst>
    </bk>
    <bk>
      <extLst>
        <ext uri="{3e2802c4-a4d2-4d8b-9148-e3be6c30e623}">
          <xlrd:rvb i="409"/>
        </ext>
      </extLst>
    </bk>
    <bk>
      <extLst>
        <ext uri="{3e2802c4-a4d2-4d8b-9148-e3be6c30e623}">
          <xlrd:rvb i="410"/>
        </ext>
      </extLst>
    </bk>
    <bk>
      <extLst>
        <ext uri="{3e2802c4-a4d2-4d8b-9148-e3be6c30e623}">
          <xlrd:rvb i="411"/>
        </ext>
      </extLst>
    </bk>
    <bk>
      <extLst>
        <ext uri="{3e2802c4-a4d2-4d8b-9148-e3be6c30e623}">
          <xlrd:rvb i="412"/>
        </ext>
      </extLst>
    </bk>
    <bk>
      <extLst>
        <ext uri="{3e2802c4-a4d2-4d8b-9148-e3be6c30e623}">
          <xlrd:rvb i="413"/>
        </ext>
      </extLst>
    </bk>
    <bk>
      <extLst>
        <ext uri="{3e2802c4-a4d2-4d8b-9148-e3be6c30e623}">
          <xlrd:rvb i="414"/>
        </ext>
      </extLst>
    </bk>
    <bk>
      <extLst>
        <ext uri="{3e2802c4-a4d2-4d8b-9148-e3be6c30e623}">
          <xlrd:rvb i="415"/>
        </ext>
      </extLst>
    </bk>
    <bk>
      <extLst>
        <ext uri="{3e2802c4-a4d2-4d8b-9148-e3be6c30e623}">
          <xlrd:rvb i="416"/>
        </ext>
      </extLst>
    </bk>
    <bk>
      <extLst>
        <ext uri="{3e2802c4-a4d2-4d8b-9148-e3be6c30e623}">
          <xlrd:rvb i="417"/>
        </ext>
      </extLst>
    </bk>
    <bk>
      <extLst>
        <ext uri="{3e2802c4-a4d2-4d8b-9148-e3be6c30e623}">
          <xlrd:rvb i="418"/>
        </ext>
      </extLst>
    </bk>
    <bk>
      <extLst>
        <ext uri="{3e2802c4-a4d2-4d8b-9148-e3be6c30e623}">
          <xlrd:rvb i="419"/>
        </ext>
      </extLst>
    </bk>
    <bk>
      <extLst>
        <ext uri="{3e2802c4-a4d2-4d8b-9148-e3be6c30e623}">
          <xlrd:rvb i="420"/>
        </ext>
      </extLst>
    </bk>
    <bk>
      <extLst>
        <ext uri="{3e2802c4-a4d2-4d8b-9148-e3be6c30e623}">
          <xlrd:rvb i="421"/>
        </ext>
      </extLst>
    </bk>
    <bk>
      <extLst>
        <ext uri="{3e2802c4-a4d2-4d8b-9148-e3be6c30e623}">
          <xlrd:rvb i="422"/>
        </ext>
      </extLst>
    </bk>
    <bk>
      <extLst>
        <ext uri="{3e2802c4-a4d2-4d8b-9148-e3be6c30e623}">
          <xlrd:rvb i="423"/>
        </ext>
      </extLst>
    </bk>
    <bk>
      <extLst>
        <ext uri="{3e2802c4-a4d2-4d8b-9148-e3be6c30e623}">
          <xlrd:rvb i="424"/>
        </ext>
      </extLst>
    </bk>
    <bk>
      <extLst>
        <ext uri="{3e2802c4-a4d2-4d8b-9148-e3be6c30e623}">
          <xlrd:rvb i="425"/>
        </ext>
      </extLst>
    </bk>
    <bk>
      <extLst>
        <ext uri="{3e2802c4-a4d2-4d8b-9148-e3be6c30e623}">
          <xlrd:rvb i="426"/>
        </ext>
      </extLst>
    </bk>
    <bk>
      <extLst>
        <ext uri="{3e2802c4-a4d2-4d8b-9148-e3be6c30e623}">
          <xlrd:rvb i="427"/>
        </ext>
      </extLst>
    </bk>
    <bk>
      <extLst>
        <ext uri="{3e2802c4-a4d2-4d8b-9148-e3be6c30e623}">
          <xlrd:rvb i="428"/>
        </ext>
      </extLst>
    </bk>
    <bk>
      <extLst>
        <ext uri="{3e2802c4-a4d2-4d8b-9148-e3be6c30e623}">
          <xlrd:rvb i="429"/>
        </ext>
      </extLst>
    </bk>
    <bk>
      <extLst>
        <ext uri="{3e2802c4-a4d2-4d8b-9148-e3be6c30e623}">
          <xlrd:rvb i="430"/>
        </ext>
      </extLst>
    </bk>
    <bk>
      <extLst>
        <ext uri="{3e2802c4-a4d2-4d8b-9148-e3be6c30e623}">
          <xlrd:rvb i="431"/>
        </ext>
      </extLst>
    </bk>
    <bk>
      <extLst>
        <ext uri="{3e2802c4-a4d2-4d8b-9148-e3be6c30e623}">
          <xlrd:rvb i="432"/>
        </ext>
      </extLst>
    </bk>
    <bk>
      <extLst>
        <ext uri="{3e2802c4-a4d2-4d8b-9148-e3be6c30e623}">
          <xlrd:rvb i="433"/>
        </ext>
      </extLst>
    </bk>
    <bk>
      <extLst>
        <ext uri="{3e2802c4-a4d2-4d8b-9148-e3be6c30e623}">
          <xlrd:rvb i="434"/>
        </ext>
      </extLst>
    </bk>
    <bk>
      <extLst>
        <ext uri="{3e2802c4-a4d2-4d8b-9148-e3be6c30e623}">
          <xlrd:rvb i="435"/>
        </ext>
      </extLst>
    </bk>
    <bk>
      <extLst>
        <ext uri="{3e2802c4-a4d2-4d8b-9148-e3be6c30e623}">
          <xlrd:rvb i="436"/>
        </ext>
      </extLst>
    </bk>
    <bk>
      <extLst>
        <ext uri="{3e2802c4-a4d2-4d8b-9148-e3be6c30e623}">
          <xlrd:rvb i="437"/>
        </ext>
      </extLst>
    </bk>
    <bk>
      <extLst>
        <ext uri="{3e2802c4-a4d2-4d8b-9148-e3be6c30e623}">
          <xlrd:rvb i="438"/>
        </ext>
      </extLst>
    </bk>
    <bk>
      <extLst>
        <ext uri="{3e2802c4-a4d2-4d8b-9148-e3be6c30e623}">
          <xlrd:rvb i="439"/>
        </ext>
      </extLst>
    </bk>
    <bk>
      <extLst>
        <ext uri="{3e2802c4-a4d2-4d8b-9148-e3be6c30e623}">
          <xlrd:rvb i="440"/>
        </ext>
      </extLst>
    </bk>
    <bk>
      <extLst>
        <ext uri="{3e2802c4-a4d2-4d8b-9148-e3be6c30e623}">
          <xlrd:rvb i="441"/>
        </ext>
      </extLst>
    </bk>
    <bk>
      <extLst>
        <ext uri="{3e2802c4-a4d2-4d8b-9148-e3be6c30e623}">
          <xlrd:rvb i="442"/>
        </ext>
      </extLst>
    </bk>
    <bk>
      <extLst>
        <ext uri="{3e2802c4-a4d2-4d8b-9148-e3be6c30e623}">
          <xlrd:rvb i="448"/>
        </ext>
      </extLst>
    </bk>
    <bk>
      <extLst>
        <ext uri="{3e2802c4-a4d2-4d8b-9148-e3be6c30e623}">
          <xlrd:rvb i="449"/>
        </ext>
      </extLst>
    </bk>
    <bk>
      <extLst>
        <ext uri="{3e2802c4-a4d2-4d8b-9148-e3be6c30e623}">
          <xlrd:rvb i="450"/>
        </ext>
      </extLst>
    </bk>
    <bk>
      <extLst>
        <ext uri="{3e2802c4-a4d2-4d8b-9148-e3be6c30e623}">
          <xlrd:rvb i="451"/>
        </ext>
      </extLst>
    </bk>
    <bk>
      <extLst>
        <ext uri="{3e2802c4-a4d2-4d8b-9148-e3be6c30e623}">
          <xlrd:rvb i="452"/>
        </ext>
      </extLst>
    </bk>
    <bk>
      <extLst>
        <ext uri="{3e2802c4-a4d2-4d8b-9148-e3be6c30e623}">
          <xlrd:rvb i="453"/>
        </ext>
      </extLst>
    </bk>
    <bk>
      <extLst>
        <ext uri="{3e2802c4-a4d2-4d8b-9148-e3be6c30e623}">
          <xlrd:rvb i="454"/>
        </ext>
      </extLst>
    </bk>
    <bk>
      <extLst>
        <ext uri="{3e2802c4-a4d2-4d8b-9148-e3be6c30e623}">
          <xlrd:rvb i="455"/>
        </ext>
      </extLst>
    </bk>
    <bk>
      <extLst>
        <ext uri="{3e2802c4-a4d2-4d8b-9148-e3be6c30e623}">
          <xlrd:rvb i="456"/>
        </ext>
      </extLst>
    </bk>
    <bk>
      <extLst>
        <ext uri="{3e2802c4-a4d2-4d8b-9148-e3be6c30e623}">
          <xlrd:rvb i="457"/>
        </ext>
      </extLst>
    </bk>
    <bk>
      <extLst>
        <ext uri="{3e2802c4-a4d2-4d8b-9148-e3be6c30e623}">
          <xlrd:rvb i="458"/>
        </ext>
      </extLst>
    </bk>
    <bk>
      <extLst>
        <ext uri="{3e2802c4-a4d2-4d8b-9148-e3be6c30e623}">
          <xlrd:rvb i="459"/>
        </ext>
      </extLst>
    </bk>
    <bk>
      <extLst>
        <ext uri="{3e2802c4-a4d2-4d8b-9148-e3be6c30e623}">
          <xlrd:rvb i="460"/>
        </ext>
      </extLst>
    </bk>
    <bk>
      <extLst>
        <ext uri="{3e2802c4-a4d2-4d8b-9148-e3be6c30e623}">
          <xlrd:rvb i="461"/>
        </ext>
      </extLst>
    </bk>
    <bk>
      <extLst>
        <ext uri="{3e2802c4-a4d2-4d8b-9148-e3be6c30e623}">
          <xlrd:rvb i="462"/>
        </ext>
      </extLst>
    </bk>
    <bk>
      <extLst>
        <ext uri="{3e2802c4-a4d2-4d8b-9148-e3be6c30e623}">
          <xlrd:rvb i="463"/>
        </ext>
      </extLst>
    </bk>
    <bk>
      <extLst>
        <ext uri="{3e2802c4-a4d2-4d8b-9148-e3be6c30e623}">
          <xlrd:rvb i="464"/>
        </ext>
      </extLst>
    </bk>
    <bk>
      <extLst>
        <ext uri="{3e2802c4-a4d2-4d8b-9148-e3be6c30e623}">
          <xlrd:rvb i="465"/>
        </ext>
      </extLst>
    </bk>
    <bk>
      <extLst>
        <ext uri="{3e2802c4-a4d2-4d8b-9148-e3be6c30e623}">
          <xlrd:rvb i="466"/>
        </ext>
      </extLst>
    </bk>
    <bk>
      <extLst>
        <ext uri="{3e2802c4-a4d2-4d8b-9148-e3be6c30e623}">
          <xlrd:rvb i="467"/>
        </ext>
      </extLst>
    </bk>
    <bk>
      <extLst>
        <ext uri="{3e2802c4-a4d2-4d8b-9148-e3be6c30e623}">
          <xlrd:rvb i="468"/>
        </ext>
      </extLst>
    </bk>
    <bk>
      <extLst>
        <ext uri="{3e2802c4-a4d2-4d8b-9148-e3be6c30e623}">
          <xlrd:rvb i="469"/>
        </ext>
      </extLst>
    </bk>
    <bk>
      <extLst>
        <ext uri="{3e2802c4-a4d2-4d8b-9148-e3be6c30e623}">
          <xlrd:rvb i="470"/>
        </ext>
      </extLst>
    </bk>
    <bk>
      <extLst>
        <ext uri="{3e2802c4-a4d2-4d8b-9148-e3be6c30e623}">
          <xlrd:rvb i="471"/>
        </ext>
      </extLst>
    </bk>
    <bk>
      <extLst>
        <ext uri="{3e2802c4-a4d2-4d8b-9148-e3be6c30e623}">
          <xlrd:rvb i="472"/>
        </ext>
      </extLst>
    </bk>
    <bk>
      <extLst>
        <ext uri="{3e2802c4-a4d2-4d8b-9148-e3be6c30e623}">
          <xlrd:rvb i="473"/>
        </ext>
      </extLst>
    </bk>
    <bk>
      <extLst>
        <ext uri="{3e2802c4-a4d2-4d8b-9148-e3be6c30e623}">
          <xlrd:rvb i="474"/>
        </ext>
      </extLst>
    </bk>
    <bk>
      <extLst>
        <ext uri="{3e2802c4-a4d2-4d8b-9148-e3be6c30e623}">
          <xlrd:rvb i="475"/>
        </ext>
      </extLst>
    </bk>
    <bk>
      <extLst>
        <ext uri="{3e2802c4-a4d2-4d8b-9148-e3be6c30e623}">
          <xlrd:rvb i="476"/>
        </ext>
      </extLst>
    </bk>
    <bk>
      <extLst>
        <ext uri="{3e2802c4-a4d2-4d8b-9148-e3be6c30e623}">
          <xlrd:rvb i="477"/>
        </ext>
      </extLst>
    </bk>
    <bk>
      <extLst>
        <ext uri="{3e2802c4-a4d2-4d8b-9148-e3be6c30e623}">
          <xlrd:rvb i="478"/>
        </ext>
      </extLst>
    </bk>
    <bk>
      <extLst>
        <ext uri="{3e2802c4-a4d2-4d8b-9148-e3be6c30e623}">
          <xlrd:rvb i="479"/>
        </ext>
      </extLst>
    </bk>
    <bk>
      <extLst>
        <ext uri="{3e2802c4-a4d2-4d8b-9148-e3be6c30e623}">
          <xlrd:rvb i="480"/>
        </ext>
      </extLst>
    </bk>
    <bk>
      <extLst>
        <ext uri="{3e2802c4-a4d2-4d8b-9148-e3be6c30e623}">
          <xlrd:rvb i="481"/>
        </ext>
      </extLst>
    </bk>
    <bk>
      <extLst>
        <ext uri="{3e2802c4-a4d2-4d8b-9148-e3be6c30e623}">
          <xlrd:rvb i="482"/>
        </ext>
      </extLst>
    </bk>
    <bk>
      <extLst>
        <ext uri="{3e2802c4-a4d2-4d8b-9148-e3be6c30e623}">
          <xlrd:rvb i="483"/>
        </ext>
      </extLst>
    </bk>
    <bk>
      <extLst>
        <ext uri="{3e2802c4-a4d2-4d8b-9148-e3be6c30e623}">
          <xlrd:rvb i="484"/>
        </ext>
      </extLst>
    </bk>
    <bk>
      <extLst>
        <ext uri="{3e2802c4-a4d2-4d8b-9148-e3be6c30e623}">
          <xlrd:rvb i="485"/>
        </ext>
      </extLst>
    </bk>
    <bk>
      <extLst>
        <ext uri="{3e2802c4-a4d2-4d8b-9148-e3be6c30e623}">
          <xlrd:rvb i="486"/>
        </ext>
      </extLst>
    </bk>
    <bk>
      <extLst>
        <ext uri="{3e2802c4-a4d2-4d8b-9148-e3be6c30e623}">
          <xlrd:rvb i="487"/>
        </ext>
      </extLst>
    </bk>
    <bk>
      <extLst>
        <ext uri="{3e2802c4-a4d2-4d8b-9148-e3be6c30e623}">
          <xlrd:rvb i="488"/>
        </ext>
      </extLst>
    </bk>
    <bk>
      <extLst>
        <ext uri="{3e2802c4-a4d2-4d8b-9148-e3be6c30e623}">
          <xlrd:rvb i="489"/>
        </ext>
      </extLst>
    </bk>
    <bk>
      <extLst>
        <ext uri="{3e2802c4-a4d2-4d8b-9148-e3be6c30e623}">
          <xlrd:rvb i="490"/>
        </ext>
      </extLst>
    </bk>
    <bk>
      <extLst>
        <ext uri="{3e2802c4-a4d2-4d8b-9148-e3be6c30e623}">
          <xlrd:rvb i="491"/>
        </ext>
      </extLst>
    </bk>
    <bk>
      <extLst>
        <ext uri="{3e2802c4-a4d2-4d8b-9148-e3be6c30e623}">
          <xlrd:rvb i="492"/>
        </ext>
      </extLst>
    </bk>
    <bk>
      <extLst>
        <ext uri="{3e2802c4-a4d2-4d8b-9148-e3be6c30e623}">
          <xlrd:rvb i="493"/>
        </ext>
      </extLst>
    </bk>
    <bk>
      <extLst>
        <ext uri="{3e2802c4-a4d2-4d8b-9148-e3be6c30e623}">
          <xlrd:rvb i="494"/>
        </ext>
      </extLst>
    </bk>
    <bk>
      <extLst>
        <ext uri="{3e2802c4-a4d2-4d8b-9148-e3be6c30e623}">
          <xlrd:rvb i="495"/>
        </ext>
      </extLst>
    </bk>
    <bk>
      <extLst>
        <ext uri="{3e2802c4-a4d2-4d8b-9148-e3be6c30e623}">
          <xlrd:rvb i="496"/>
        </ext>
      </extLst>
    </bk>
    <bk>
      <extLst>
        <ext uri="{3e2802c4-a4d2-4d8b-9148-e3be6c30e623}">
          <xlrd:rvb i="497"/>
        </ext>
      </extLst>
    </bk>
    <bk>
      <extLst>
        <ext uri="{3e2802c4-a4d2-4d8b-9148-e3be6c30e623}">
          <xlrd:rvb i="498"/>
        </ext>
      </extLst>
    </bk>
    <bk>
      <extLst>
        <ext uri="{3e2802c4-a4d2-4d8b-9148-e3be6c30e623}">
          <xlrd:rvb i="499"/>
        </ext>
      </extLst>
    </bk>
    <bk>
      <extLst>
        <ext uri="{3e2802c4-a4d2-4d8b-9148-e3be6c30e623}">
          <xlrd:rvb i="500"/>
        </ext>
      </extLst>
    </bk>
    <bk>
      <extLst>
        <ext uri="{3e2802c4-a4d2-4d8b-9148-e3be6c30e623}">
          <xlrd:rvb i="501"/>
        </ext>
      </extLst>
    </bk>
    <bk>
      <extLst>
        <ext uri="{3e2802c4-a4d2-4d8b-9148-e3be6c30e623}">
          <xlrd:rvb i="502"/>
        </ext>
      </extLst>
    </bk>
    <bk>
      <extLst>
        <ext uri="{3e2802c4-a4d2-4d8b-9148-e3be6c30e623}">
          <xlrd:rvb i="503"/>
        </ext>
      </extLst>
    </bk>
    <bk>
      <extLst>
        <ext uri="{3e2802c4-a4d2-4d8b-9148-e3be6c30e623}">
          <xlrd:rvb i="504"/>
        </ext>
      </extLst>
    </bk>
    <bk>
      <extLst>
        <ext uri="{3e2802c4-a4d2-4d8b-9148-e3be6c30e623}">
          <xlrd:rvb i="505"/>
        </ext>
      </extLst>
    </bk>
    <bk>
      <extLst>
        <ext uri="{3e2802c4-a4d2-4d8b-9148-e3be6c30e623}">
          <xlrd:rvb i="506"/>
        </ext>
      </extLst>
    </bk>
    <bk>
      <extLst>
        <ext uri="{3e2802c4-a4d2-4d8b-9148-e3be6c30e623}">
          <xlrd:rvb i="507"/>
        </ext>
      </extLst>
    </bk>
    <bk>
      <extLst>
        <ext uri="{3e2802c4-a4d2-4d8b-9148-e3be6c30e623}">
          <xlrd:rvb i="508"/>
        </ext>
      </extLst>
    </bk>
    <bk>
      <extLst>
        <ext uri="{3e2802c4-a4d2-4d8b-9148-e3be6c30e623}">
          <xlrd:rvb i="511"/>
        </ext>
      </extLst>
    </bk>
    <bk>
      <extLst>
        <ext uri="{3e2802c4-a4d2-4d8b-9148-e3be6c30e623}">
          <xlrd:rvb i="512"/>
        </ext>
      </extLst>
    </bk>
    <bk>
      <extLst>
        <ext uri="{3e2802c4-a4d2-4d8b-9148-e3be6c30e623}">
          <xlrd:rvb i="513"/>
        </ext>
      </extLst>
    </bk>
    <bk>
      <extLst>
        <ext uri="{3e2802c4-a4d2-4d8b-9148-e3be6c30e623}">
          <xlrd:rvb i="514"/>
        </ext>
      </extLst>
    </bk>
    <bk>
      <extLst>
        <ext uri="{3e2802c4-a4d2-4d8b-9148-e3be6c30e623}">
          <xlrd:rvb i="515"/>
        </ext>
      </extLst>
    </bk>
    <bk>
      <extLst>
        <ext uri="{3e2802c4-a4d2-4d8b-9148-e3be6c30e623}">
          <xlrd:rvb i="516"/>
        </ext>
      </extLst>
    </bk>
    <bk>
      <extLst>
        <ext uri="{3e2802c4-a4d2-4d8b-9148-e3be6c30e623}">
          <xlrd:rvb i="517"/>
        </ext>
      </extLst>
    </bk>
    <bk>
      <extLst>
        <ext uri="{3e2802c4-a4d2-4d8b-9148-e3be6c30e623}">
          <xlrd:rvb i="518"/>
        </ext>
      </extLst>
    </bk>
    <bk>
      <extLst>
        <ext uri="{3e2802c4-a4d2-4d8b-9148-e3be6c30e623}">
          <xlrd:rvb i="519"/>
        </ext>
      </extLst>
    </bk>
    <bk>
      <extLst>
        <ext uri="{3e2802c4-a4d2-4d8b-9148-e3be6c30e623}">
          <xlrd:rvb i="520"/>
        </ext>
      </extLst>
    </bk>
    <bk>
      <extLst>
        <ext uri="{3e2802c4-a4d2-4d8b-9148-e3be6c30e623}">
          <xlrd:rvb i="521"/>
        </ext>
      </extLst>
    </bk>
    <bk>
      <extLst>
        <ext uri="{3e2802c4-a4d2-4d8b-9148-e3be6c30e623}">
          <xlrd:rvb i="522"/>
        </ext>
      </extLst>
    </bk>
    <bk>
      <extLst>
        <ext uri="{3e2802c4-a4d2-4d8b-9148-e3be6c30e623}">
          <xlrd:rvb i="523"/>
        </ext>
      </extLst>
    </bk>
    <bk>
      <extLst>
        <ext uri="{3e2802c4-a4d2-4d8b-9148-e3be6c30e623}">
          <xlrd:rvb i="524"/>
        </ext>
      </extLst>
    </bk>
    <bk>
      <extLst>
        <ext uri="{3e2802c4-a4d2-4d8b-9148-e3be6c30e623}">
          <xlrd:rvb i="525"/>
        </ext>
      </extLst>
    </bk>
    <bk>
      <extLst>
        <ext uri="{3e2802c4-a4d2-4d8b-9148-e3be6c30e623}">
          <xlrd:rvb i="526"/>
        </ext>
      </extLst>
    </bk>
    <bk>
      <extLst>
        <ext uri="{3e2802c4-a4d2-4d8b-9148-e3be6c30e623}">
          <xlrd:rvb i="527"/>
        </ext>
      </extLst>
    </bk>
    <bk>
      <extLst>
        <ext uri="{3e2802c4-a4d2-4d8b-9148-e3be6c30e623}">
          <xlrd:rvb i="528"/>
        </ext>
      </extLst>
    </bk>
    <bk>
      <extLst>
        <ext uri="{3e2802c4-a4d2-4d8b-9148-e3be6c30e623}">
          <xlrd:rvb i="529"/>
        </ext>
      </extLst>
    </bk>
    <bk>
      <extLst>
        <ext uri="{3e2802c4-a4d2-4d8b-9148-e3be6c30e623}">
          <xlrd:rvb i="530"/>
        </ext>
      </extLst>
    </bk>
    <bk>
      <extLst>
        <ext uri="{3e2802c4-a4d2-4d8b-9148-e3be6c30e623}">
          <xlrd:rvb i="531"/>
        </ext>
      </extLst>
    </bk>
    <bk>
      <extLst>
        <ext uri="{3e2802c4-a4d2-4d8b-9148-e3be6c30e623}">
          <xlrd:rvb i="532"/>
        </ext>
      </extLst>
    </bk>
    <bk>
      <extLst>
        <ext uri="{3e2802c4-a4d2-4d8b-9148-e3be6c30e623}">
          <xlrd:rvb i="533"/>
        </ext>
      </extLst>
    </bk>
    <bk>
      <extLst>
        <ext uri="{3e2802c4-a4d2-4d8b-9148-e3be6c30e623}">
          <xlrd:rvb i="534"/>
        </ext>
      </extLst>
    </bk>
    <bk>
      <extLst>
        <ext uri="{3e2802c4-a4d2-4d8b-9148-e3be6c30e623}">
          <xlrd:rvb i="535"/>
        </ext>
      </extLst>
    </bk>
    <bk>
      <extLst>
        <ext uri="{3e2802c4-a4d2-4d8b-9148-e3be6c30e623}">
          <xlrd:rvb i="536"/>
        </ext>
      </extLst>
    </bk>
    <bk>
      <extLst>
        <ext uri="{3e2802c4-a4d2-4d8b-9148-e3be6c30e623}">
          <xlrd:rvb i="537"/>
        </ext>
      </extLst>
    </bk>
    <bk>
      <extLst>
        <ext uri="{3e2802c4-a4d2-4d8b-9148-e3be6c30e623}">
          <xlrd:rvb i="538"/>
        </ext>
      </extLst>
    </bk>
    <bk>
      <extLst>
        <ext uri="{3e2802c4-a4d2-4d8b-9148-e3be6c30e623}">
          <xlrd:rvb i="539"/>
        </ext>
      </extLst>
    </bk>
    <bk>
      <extLst>
        <ext uri="{3e2802c4-a4d2-4d8b-9148-e3be6c30e623}">
          <xlrd:rvb i="540"/>
        </ext>
      </extLst>
    </bk>
    <bk>
      <extLst>
        <ext uri="{3e2802c4-a4d2-4d8b-9148-e3be6c30e623}">
          <xlrd:rvb i="541"/>
        </ext>
      </extLst>
    </bk>
    <bk>
      <extLst>
        <ext uri="{3e2802c4-a4d2-4d8b-9148-e3be6c30e623}">
          <xlrd:rvb i="542"/>
        </ext>
      </extLst>
    </bk>
    <bk>
      <extLst>
        <ext uri="{3e2802c4-a4d2-4d8b-9148-e3be6c30e623}">
          <xlrd:rvb i="543"/>
        </ext>
      </extLst>
    </bk>
    <bk>
      <extLst>
        <ext uri="{3e2802c4-a4d2-4d8b-9148-e3be6c30e623}">
          <xlrd:rvb i="544"/>
        </ext>
      </extLst>
    </bk>
    <bk>
      <extLst>
        <ext uri="{3e2802c4-a4d2-4d8b-9148-e3be6c30e623}">
          <xlrd:rvb i="545"/>
        </ext>
      </extLst>
    </bk>
    <bk>
      <extLst>
        <ext uri="{3e2802c4-a4d2-4d8b-9148-e3be6c30e623}">
          <xlrd:rvb i="546"/>
        </ext>
      </extLst>
    </bk>
    <bk>
      <extLst>
        <ext uri="{3e2802c4-a4d2-4d8b-9148-e3be6c30e623}">
          <xlrd:rvb i="547"/>
        </ext>
      </extLst>
    </bk>
    <bk>
      <extLst>
        <ext uri="{3e2802c4-a4d2-4d8b-9148-e3be6c30e623}">
          <xlrd:rvb i="548"/>
        </ext>
      </extLst>
    </bk>
    <bk>
      <extLst>
        <ext uri="{3e2802c4-a4d2-4d8b-9148-e3be6c30e623}">
          <xlrd:rvb i="549"/>
        </ext>
      </extLst>
    </bk>
    <bk>
      <extLst>
        <ext uri="{3e2802c4-a4d2-4d8b-9148-e3be6c30e623}">
          <xlrd:rvb i="550"/>
        </ext>
      </extLst>
    </bk>
    <bk>
      <extLst>
        <ext uri="{3e2802c4-a4d2-4d8b-9148-e3be6c30e623}">
          <xlrd:rvb i="551"/>
        </ext>
      </extLst>
    </bk>
    <bk>
      <extLst>
        <ext uri="{3e2802c4-a4d2-4d8b-9148-e3be6c30e623}">
          <xlrd:rvb i="552"/>
        </ext>
      </extLst>
    </bk>
    <bk>
      <extLst>
        <ext uri="{3e2802c4-a4d2-4d8b-9148-e3be6c30e623}">
          <xlrd:rvb i="553"/>
        </ext>
      </extLst>
    </bk>
    <bk>
      <extLst>
        <ext uri="{3e2802c4-a4d2-4d8b-9148-e3be6c30e623}">
          <xlrd:rvb i="554"/>
        </ext>
      </extLst>
    </bk>
    <bk>
      <extLst>
        <ext uri="{3e2802c4-a4d2-4d8b-9148-e3be6c30e623}">
          <xlrd:rvb i="555"/>
        </ext>
      </extLst>
    </bk>
    <bk>
      <extLst>
        <ext uri="{3e2802c4-a4d2-4d8b-9148-e3be6c30e623}">
          <xlrd:rvb i="556"/>
        </ext>
      </extLst>
    </bk>
    <bk>
      <extLst>
        <ext uri="{3e2802c4-a4d2-4d8b-9148-e3be6c30e623}">
          <xlrd:rvb i="557"/>
        </ext>
      </extLst>
    </bk>
    <bk>
      <extLst>
        <ext uri="{3e2802c4-a4d2-4d8b-9148-e3be6c30e623}">
          <xlrd:rvb i="558"/>
        </ext>
      </extLst>
    </bk>
    <bk>
      <extLst>
        <ext uri="{3e2802c4-a4d2-4d8b-9148-e3be6c30e623}">
          <xlrd:rvb i="559"/>
        </ext>
      </extLst>
    </bk>
    <bk>
      <extLst>
        <ext uri="{3e2802c4-a4d2-4d8b-9148-e3be6c30e623}">
          <xlrd:rvb i="560"/>
        </ext>
      </extLst>
    </bk>
    <bk>
      <extLst>
        <ext uri="{3e2802c4-a4d2-4d8b-9148-e3be6c30e623}">
          <xlrd:rvb i="561"/>
        </ext>
      </extLst>
    </bk>
    <bk>
      <extLst>
        <ext uri="{3e2802c4-a4d2-4d8b-9148-e3be6c30e623}">
          <xlrd:rvb i="562"/>
        </ext>
      </extLst>
    </bk>
    <bk>
      <extLst>
        <ext uri="{3e2802c4-a4d2-4d8b-9148-e3be6c30e623}">
          <xlrd:rvb i="563"/>
        </ext>
      </extLst>
    </bk>
    <bk>
      <extLst>
        <ext uri="{3e2802c4-a4d2-4d8b-9148-e3be6c30e623}">
          <xlrd:rvb i="564"/>
        </ext>
      </extLst>
    </bk>
    <bk>
      <extLst>
        <ext uri="{3e2802c4-a4d2-4d8b-9148-e3be6c30e623}">
          <xlrd:rvb i="565"/>
        </ext>
      </extLst>
    </bk>
    <bk>
      <extLst>
        <ext uri="{3e2802c4-a4d2-4d8b-9148-e3be6c30e623}">
          <xlrd:rvb i="566"/>
        </ext>
      </extLst>
    </bk>
    <bk>
      <extLst>
        <ext uri="{3e2802c4-a4d2-4d8b-9148-e3be6c30e623}">
          <xlrd:rvb i="567"/>
        </ext>
      </extLst>
    </bk>
    <bk>
      <extLst>
        <ext uri="{3e2802c4-a4d2-4d8b-9148-e3be6c30e623}">
          <xlrd:rvb i="568"/>
        </ext>
      </extLst>
    </bk>
    <bk>
      <extLst>
        <ext uri="{3e2802c4-a4d2-4d8b-9148-e3be6c30e623}">
          <xlrd:rvb i="569"/>
        </ext>
      </extLst>
    </bk>
    <bk>
      <extLst>
        <ext uri="{3e2802c4-a4d2-4d8b-9148-e3be6c30e623}">
          <xlrd:rvb i="570"/>
        </ext>
      </extLst>
    </bk>
    <bk>
      <extLst>
        <ext uri="{3e2802c4-a4d2-4d8b-9148-e3be6c30e623}">
          <xlrd:rvb i="571"/>
        </ext>
      </extLst>
    </bk>
    <bk>
      <extLst>
        <ext uri="{3e2802c4-a4d2-4d8b-9148-e3be6c30e623}">
          <xlrd:rvb i="572"/>
        </ext>
      </extLst>
    </bk>
    <bk>
      <extLst>
        <ext uri="{3e2802c4-a4d2-4d8b-9148-e3be6c30e623}">
          <xlrd:rvb i="575"/>
        </ext>
      </extLst>
    </bk>
    <bk>
      <extLst>
        <ext uri="{3e2802c4-a4d2-4d8b-9148-e3be6c30e623}">
          <xlrd:rvb i="576"/>
        </ext>
      </extLst>
    </bk>
    <bk>
      <extLst>
        <ext uri="{3e2802c4-a4d2-4d8b-9148-e3be6c30e623}">
          <xlrd:rvb i="577"/>
        </ext>
      </extLst>
    </bk>
    <bk>
      <extLst>
        <ext uri="{3e2802c4-a4d2-4d8b-9148-e3be6c30e623}">
          <xlrd:rvb i="578"/>
        </ext>
      </extLst>
    </bk>
    <bk>
      <extLst>
        <ext uri="{3e2802c4-a4d2-4d8b-9148-e3be6c30e623}">
          <xlrd:rvb i="579"/>
        </ext>
      </extLst>
    </bk>
    <bk>
      <extLst>
        <ext uri="{3e2802c4-a4d2-4d8b-9148-e3be6c30e623}">
          <xlrd:rvb i="580"/>
        </ext>
      </extLst>
    </bk>
    <bk>
      <extLst>
        <ext uri="{3e2802c4-a4d2-4d8b-9148-e3be6c30e623}">
          <xlrd:rvb i="581"/>
        </ext>
      </extLst>
    </bk>
    <bk>
      <extLst>
        <ext uri="{3e2802c4-a4d2-4d8b-9148-e3be6c30e623}">
          <xlrd:rvb i="582"/>
        </ext>
      </extLst>
    </bk>
    <bk>
      <extLst>
        <ext uri="{3e2802c4-a4d2-4d8b-9148-e3be6c30e623}">
          <xlrd:rvb i="583"/>
        </ext>
      </extLst>
    </bk>
    <bk>
      <extLst>
        <ext uri="{3e2802c4-a4d2-4d8b-9148-e3be6c30e623}">
          <xlrd:rvb i="584"/>
        </ext>
      </extLst>
    </bk>
    <bk>
      <extLst>
        <ext uri="{3e2802c4-a4d2-4d8b-9148-e3be6c30e623}">
          <xlrd:rvb i="585"/>
        </ext>
      </extLst>
    </bk>
    <bk>
      <extLst>
        <ext uri="{3e2802c4-a4d2-4d8b-9148-e3be6c30e623}">
          <xlrd:rvb i="586"/>
        </ext>
      </extLst>
    </bk>
    <bk>
      <extLst>
        <ext uri="{3e2802c4-a4d2-4d8b-9148-e3be6c30e623}">
          <xlrd:rvb i="587"/>
        </ext>
      </extLst>
    </bk>
    <bk>
      <extLst>
        <ext uri="{3e2802c4-a4d2-4d8b-9148-e3be6c30e623}">
          <xlrd:rvb i="588"/>
        </ext>
      </extLst>
    </bk>
    <bk>
      <extLst>
        <ext uri="{3e2802c4-a4d2-4d8b-9148-e3be6c30e623}">
          <xlrd:rvb i="589"/>
        </ext>
      </extLst>
    </bk>
    <bk>
      <extLst>
        <ext uri="{3e2802c4-a4d2-4d8b-9148-e3be6c30e623}">
          <xlrd:rvb i="590"/>
        </ext>
      </extLst>
    </bk>
    <bk>
      <extLst>
        <ext uri="{3e2802c4-a4d2-4d8b-9148-e3be6c30e623}">
          <xlrd:rvb i="591"/>
        </ext>
      </extLst>
    </bk>
    <bk>
      <extLst>
        <ext uri="{3e2802c4-a4d2-4d8b-9148-e3be6c30e623}">
          <xlrd:rvb i="592"/>
        </ext>
      </extLst>
    </bk>
    <bk>
      <extLst>
        <ext uri="{3e2802c4-a4d2-4d8b-9148-e3be6c30e623}">
          <xlrd:rvb i="593"/>
        </ext>
      </extLst>
    </bk>
    <bk>
      <extLst>
        <ext uri="{3e2802c4-a4d2-4d8b-9148-e3be6c30e623}">
          <xlrd:rvb i="594"/>
        </ext>
      </extLst>
    </bk>
    <bk>
      <extLst>
        <ext uri="{3e2802c4-a4d2-4d8b-9148-e3be6c30e623}">
          <xlrd:rvb i="595"/>
        </ext>
      </extLst>
    </bk>
    <bk>
      <extLst>
        <ext uri="{3e2802c4-a4d2-4d8b-9148-e3be6c30e623}">
          <xlrd:rvb i="596"/>
        </ext>
      </extLst>
    </bk>
    <bk>
      <extLst>
        <ext uri="{3e2802c4-a4d2-4d8b-9148-e3be6c30e623}">
          <xlrd:rvb i="597"/>
        </ext>
      </extLst>
    </bk>
    <bk>
      <extLst>
        <ext uri="{3e2802c4-a4d2-4d8b-9148-e3be6c30e623}">
          <xlrd:rvb i="598"/>
        </ext>
      </extLst>
    </bk>
    <bk>
      <extLst>
        <ext uri="{3e2802c4-a4d2-4d8b-9148-e3be6c30e623}">
          <xlrd:rvb i="599"/>
        </ext>
      </extLst>
    </bk>
    <bk>
      <extLst>
        <ext uri="{3e2802c4-a4d2-4d8b-9148-e3be6c30e623}">
          <xlrd:rvb i="600"/>
        </ext>
      </extLst>
    </bk>
    <bk>
      <extLst>
        <ext uri="{3e2802c4-a4d2-4d8b-9148-e3be6c30e623}">
          <xlrd:rvb i="601"/>
        </ext>
      </extLst>
    </bk>
    <bk>
      <extLst>
        <ext uri="{3e2802c4-a4d2-4d8b-9148-e3be6c30e623}">
          <xlrd:rvb i="602"/>
        </ext>
      </extLst>
    </bk>
    <bk>
      <extLst>
        <ext uri="{3e2802c4-a4d2-4d8b-9148-e3be6c30e623}">
          <xlrd:rvb i="603"/>
        </ext>
      </extLst>
    </bk>
    <bk>
      <extLst>
        <ext uri="{3e2802c4-a4d2-4d8b-9148-e3be6c30e623}">
          <xlrd:rvb i="604"/>
        </ext>
      </extLst>
    </bk>
    <bk>
      <extLst>
        <ext uri="{3e2802c4-a4d2-4d8b-9148-e3be6c30e623}">
          <xlrd:rvb i="605"/>
        </ext>
      </extLst>
    </bk>
    <bk>
      <extLst>
        <ext uri="{3e2802c4-a4d2-4d8b-9148-e3be6c30e623}">
          <xlrd:rvb i="606"/>
        </ext>
      </extLst>
    </bk>
    <bk>
      <extLst>
        <ext uri="{3e2802c4-a4d2-4d8b-9148-e3be6c30e623}">
          <xlrd:rvb i="607"/>
        </ext>
      </extLst>
    </bk>
    <bk>
      <extLst>
        <ext uri="{3e2802c4-a4d2-4d8b-9148-e3be6c30e623}">
          <xlrd:rvb i="608"/>
        </ext>
      </extLst>
    </bk>
    <bk>
      <extLst>
        <ext uri="{3e2802c4-a4d2-4d8b-9148-e3be6c30e623}">
          <xlrd:rvb i="609"/>
        </ext>
      </extLst>
    </bk>
    <bk>
      <extLst>
        <ext uri="{3e2802c4-a4d2-4d8b-9148-e3be6c30e623}">
          <xlrd:rvb i="610"/>
        </ext>
      </extLst>
    </bk>
    <bk>
      <extLst>
        <ext uri="{3e2802c4-a4d2-4d8b-9148-e3be6c30e623}">
          <xlrd:rvb i="611"/>
        </ext>
      </extLst>
    </bk>
    <bk>
      <extLst>
        <ext uri="{3e2802c4-a4d2-4d8b-9148-e3be6c30e623}">
          <xlrd:rvb i="612"/>
        </ext>
      </extLst>
    </bk>
    <bk>
      <extLst>
        <ext uri="{3e2802c4-a4d2-4d8b-9148-e3be6c30e623}">
          <xlrd:rvb i="613"/>
        </ext>
      </extLst>
    </bk>
    <bk>
      <extLst>
        <ext uri="{3e2802c4-a4d2-4d8b-9148-e3be6c30e623}">
          <xlrd:rvb i="614"/>
        </ext>
      </extLst>
    </bk>
    <bk>
      <extLst>
        <ext uri="{3e2802c4-a4d2-4d8b-9148-e3be6c30e623}">
          <xlrd:rvb i="615"/>
        </ext>
      </extLst>
    </bk>
    <bk>
      <extLst>
        <ext uri="{3e2802c4-a4d2-4d8b-9148-e3be6c30e623}">
          <xlrd:rvb i="616"/>
        </ext>
      </extLst>
    </bk>
    <bk>
      <extLst>
        <ext uri="{3e2802c4-a4d2-4d8b-9148-e3be6c30e623}">
          <xlrd:rvb i="617"/>
        </ext>
      </extLst>
    </bk>
    <bk>
      <extLst>
        <ext uri="{3e2802c4-a4d2-4d8b-9148-e3be6c30e623}">
          <xlrd:rvb i="618"/>
        </ext>
      </extLst>
    </bk>
    <bk>
      <extLst>
        <ext uri="{3e2802c4-a4d2-4d8b-9148-e3be6c30e623}">
          <xlrd:rvb i="619"/>
        </ext>
      </extLst>
    </bk>
    <bk>
      <extLst>
        <ext uri="{3e2802c4-a4d2-4d8b-9148-e3be6c30e623}">
          <xlrd:rvb i="620"/>
        </ext>
      </extLst>
    </bk>
    <bk>
      <extLst>
        <ext uri="{3e2802c4-a4d2-4d8b-9148-e3be6c30e623}">
          <xlrd:rvb i="621"/>
        </ext>
      </extLst>
    </bk>
    <bk>
      <extLst>
        <ext uri="{3e2802c4-a4d2-4d8b-9148-e3be6c30e623}">
          <xlrd:rvb i="622"/>
        </ext>
      </extLst>
    </bk>
    <bk>
      <extLst>
        <ext uri="{3e2802c4-a4d2-4d8b-9148-e3be6c30e623}">
          <xlrd:rvb i="623"/>
        </ext>
      </extLst>
    </bk>
    <bk>
      <extLst>
        <ext uri="{3e2802c4-a4d2-4d8b-9148-e3be6c30e623}">
          <xlrd:rvb i="624"/>
        </ext>
      </extLst>
    </bk>
    <bk>
      <extLst>
        <ext uri="{3e2802c4-a4d2-4d8b-9148-e3be6c30e623}">
          <xlrd:rvb i="625"/>
        </ext>
      </extLst>
    </bk>
    <bk>
      <extLst>
        <ext uri="{3e2802c4-a4d2-4d8b-9148-e3be6c30e623}">
          <xlrd:rvb i="626"/>
        </ext>
      </extLst>
    </bk>
    <bk>
      <extLst>
        <ext uri="{3e2802c4-a4d2-4d8b-9148-e3be6c30e623}">
          <xlrd:rvb i="627"/>
        </ext>
      </extLst>
    </bk>
    <bk>
      <extLst>
        <ext uri="{3e2802c4-a4d2-4d8b-9148-e3be6c30e623}">
          <xlrd:rvb i="628"/>
        </ext>
      </extLst>
    </bk>
    <bk>
      <extLst>
        <ext uri="{3e2802c4-a4d2-4d8b-9148-e3be6c30e623}">
          <xlrd:rvb i="629"/>
        </ext>
      </extLst>
    </bk>
    <bk>
      <extLst>
        <ext uri="{3e2802c4-a4d2-4d8b-9148-e3be6c30e623}">
          <xlrd:rvb i="630"/>
        </ext>
      </extLst>
    </bk>
    <bk>
      <extLst>
        <ext uri="{3e2802c4-a4d2-4d8b-9148-e3be6c30e623}">
          <xlrd:rvb i="631"/>
        </ext>
      </extLst>
    </bk>
    <bk>
      <extLst>
        <ext uri="{3e2802c4-a4d2-4d8b-9148-e3be6c30e623}">
          <xlrd:rvb i="632"/>
        </ext>
      </extLst>
    </bk>
    <bk>
      <extLst>
        <ext uri="{3e2802c4-a4d2-4d8b-9148-e3be6c30e623}">
          <xlrd:rvb i="633"/>
        </ext>
      </extLst>
    </bk>
    <bk>
      <extLst>
        <ext uri="{3e2802c4-a4d2-4d8b-9148-e3be6c30e623}">
          <xlrd:rvb i="634"/>
        </ext>
      </extLst>
    </bk>
    <bk>
      <extLst>
        <ext uri="{3e2802c4-a4d2-4d8b-9148-e3be6c30e623}">
          <xlrd:rvb i="635"/>
        </ext>
      </extLst>
    </bk>
    <bk>
      <extLst>
        <ext uri="{3e2802c4-a4d2-4d8b-9148-e3be6c30e623}">
          <xlrd:rvb i="636"/>
        </ext>
      </extLst>
    </bk>
    <bk>
      <extLst>
        <ext uri="{3e2802c4-a4d2-4d8b-9148-e3be6c30e623}">
          <xlrd:rvb i="639"/>
        </ext>
      </extLst>
    </bk>
    <bk>
      <extLst>
        <ext uri="{3e2802c4-a4d2-4d8b-9148-e3be6c30e623}">
          <xlrd:rvb i="640"/>
        </ext>
      </extLst>
    </bk>
    <bk>
      <extLst>
        <ext uri="{3e2802c4-a4d2-4d8b-9148-e3be6c30e623}">
          <xlrd:rvb i="641"/>
        </ext>
      </extLst>
    </bk>
    <bk>
      <extLst>
        <ext uri="{3e2802c4-a4d2-4d8b-9148-e3be6c30e623}">
          <xlrd:rvb i="642"/>
        </ext>
      </extLst>
    </bk>
    <bk>
      <extLst>
        <ext uri="{3e2802c4-a4d2-4d8b-9148-e3be6c30e623}">
          <xlrd:rvb i="643"/>
        </ext>
      </extLst>
    </bk>
    <bk>
      <extLst>
        <ext uri="{3e2802c4-a4d2-4d8b-9148-e3be6c30e623}">
          <xlrd:rvb i="644"/>
        </ext>
      </extLst>
    </bk>
    <bk>
      <extLst>
        <ext uri="{3e2802c4-a4d2-4d8b-9148-e3be6c30e623}">
          <xlrd:rvb i="645"/>
        </ext>
      </extLst>
    </bk>
    <bk>
      <extLst>
        <ext uri="{3e2802c4-a4d2-4d8b-9148-e3be6c30e623}">
          <xlrd:rvb i="646"/>
        </ext>
      </extLst>
    </bk>
    <bk>
      <extLst>
        <ext uri="{3e2802c4-a4d2-4d8b-9148-e3be6c30e623}">
          <xlrd:rvb i="647"/>
        </ext>
      </extLst>
    </bk>
    <bk>
      <extLst>
        <ext uri="{3e2802c4-a4d2-4d8b-9148-e3be6c30e623}">
          <xlrd:rvb i="648"/>
        </ext>
      </extLst>
    </bk>
    <bk>
      <extLst>
        <ext uri="{3e2802c4-a4d2-4d8b-9148-e3be6c30e623}">
          <xlrd:rvb i="649"/>
        </ext>
      </extLst>
    </bk>
    <bk>
      <extLst>
        <ext uri="{3e2802c4-a4d2-4d8b-9148-e3be6c30e623}">
          <xlrd:rvb i="650"/>
        </ext>
      </extLst>
    </bk>
    <bk>
      <extLst>
        <ext uri="{3e2802c4-a4d2-4d8b-9148-e3be6c30e623}">
          <xlrd:rvb i="651"/>
        </ext>
      </extLst>
    </bk>
    <bk>
      <extLst>
        <ext uri="{3e2802c4-a4d2-4d8b-9148-e3be6c30e623}">
          <xlrd:rvb i="652"/>
        </ext>
      </extLst>
    </bk>
    <bk>
      <extLst>
        <ext uri="{3e2802c4-a4d2-4d8b-9148-e3be6c30e623}">
          <xlrd:rvb i="653"/>
        </ext>
      </extLst>
    </bk>
    <bk>
      <extLst>
        <ext uri="{3e2802c4-a4d2-4d8b-9148-e3be6c30e623}">
          <xlrd:rvb i="654"/>
        </ext>
      </extLst>
    </bk>
    <bk>
      <extLst>
        <ext uri="{3e2802c4-a4d2-4d8b-9148-e3be6c30e623}">
          <xlrd:rvb i="655"/>
        </ext>
      </extLst>
    </bk>
    <bk>
      <extLst>
        <ext uri="{3e2802c4-a4d2-4d8b-9148-e3be6c30e623}">
          <xlrd:rvb i="656"/>
        </ext>
      </extLst>
    </bk>
    <bk>
      <extLst>
        <ext uri="{3e2802c4-a4d2-4d8b-9148-e3be6c30e623}">
          <xlrd:rvb i="657"/>
        </ext>
      </extLst>
    </bk>
    <bk>
      <extLst>
        <ext uri="{3e2802c4-a4d2-4d8b-9148-e3be6c30e623}">
          <xlrd:rvb i="658"/>
        </ext>
      </extLst>
    </bk>
    <bk>
      <extLst>
        <ext uri="{3e2802c4-a4d2-4d8b-9148-e3be6c30e623}">
          <xlrd:rvb i="659"/>
        </ext>
      </extLst>
    </bk>
    <bk>
      <extLst>
        <ext uri="{3e2802c4-a4d2-4d8b-9148-e3be6c30e623}">
          <xlrd:rvb i="660"/>
        </ext>
      </extLst>
    </bk>
    <bk>
      <extLst>
        <ext uri="{3e2802c4-a4d2-4d8b-9148-e3be6c30e623}">
          <xlrd:rvb i="661"/>
        </ext>
      </extLst>
    </bk>
    <bk>
      <extLst>
        <ext uri="{3e2802c4-a4d2-4d8b-9148-e3be6c30e623}">
          <xlrd:rvb i="662"/>
        </ext>
      </extLst>
    </bk>
    <bk>
      <extLst>
        <ext uri="{3e2802c4-a4d2-4d8b-9148-e3be6c30e623}">
          <xlrd:rvb i="663"/>
        </ext>
      </extLst>
    </bk>
    <bk>
      <extLst>
        <ext uri="{3e2802c4-a4d2-4d8b-9148-e3be6c30e623}">
          <xlrd:rvb i="664"/>
        </ext>
      </extLst>
    </bk>
    <bk>
      <extLst>
        <ext uri="{3e2802c4-a4d2-4d8b-9148-e3be6c30e623}">
          <xlrd:rvb i="665"/>
        </ext>
      </extLst>
    </bk>
    <bk>
      <extLst>
        <ext uri="{3e2802c4-a4d2-4d8b-9148-e3be6c30e623}">
          <xlrd:rvb i="666"/>
        </ext>
      </extLst>
    </bk>
    <bk>
      <extLst>
        <ext uri="{3e2802c4-a4d2-4d8b-9148-e3be6c30e623}">
          <xlrd:rvb i="667"/>
        </ext>
      </extLst>
    </bk>
    <bk>
      <extLst>
        <ext uri="{3e2802c4-a4d2-4d8b-9148-e3be6c30e623}">
          <xlrd:rvb i="668"/>
        </ext>
      </extLst>
    </bk>
    <bk>
      <extLst>
        <ext uri="{3e2802c4-a4d2-4d8b-9148-e3be6c30e623}">
          <xlrd:rvb i="669"/>
        </ext>
      </extLst>
    </bk>
    <bk>
      <extLst>
        <ext uri="{3e2802c4-a4d2-4d8b-9148-e3be6c30e623}">
          <xlrd:rvb i="670"/>
        </ext>
      </extLst>
    </bk>
    <bk>
      <extLst>
        <ext uri="{3e2802c4-a4d2-4d8b-9148-e3be6c30e623}">
          <xlrd:rvb i="671"/>
        </ext>
      </extLst>
    </bk>
    <bk>
      <extLst>
        <ext uri="{3e2802c4-a4d2-4d8b-9148-e3be6c30e623}">
          <xlrd:rvb i="672"/>
        </ext>
      </extLst>
    </bk>
    <bk>
      <extLst>
        <ext uri="{3e2802c4-a4d2-4d8b-9148-e3be6c30e623}">
          <xlrd:rvb i="673"/>
        </ext>
      </extLst>
    </bk>
    <bk>
      <extLst>
        <ext uri="{3e2802c4-a4d2-4d8b-9148-e3be6c30e623}">
          <xlrd:rvb i="674"/>
        </ext>
      </extLst>
    </bk>
    <bk>
      <extLst>
        <ext uri="{3e2802c4-a4d2-4d8b-9148-e3be6c30e623}">
          <xlrd:rvb i="675"/>
        </ext>
      </extLst>
    </bk>
    <bk>
      <extLst>
        <ext uri="{3e2802c4-a4d2-4d8b-9148-e3be6c30e623}">
          <xlrd:rvb i="676"/>
        </ext>
      </extLst>
    </bk>
    <bk>
      <extLst>
        <ext uri="{3e2802c4-a4d2-4d8b-9148-e3be6c30e623}">
          <xlrd:rvb i="677"/>
        </ext>
      </extLst>
    </bk>
    <bk>
      <extLst>
        <ext uri="{3e2802c4-a4d2-4d8b-9148-e3be6c30e623}">
          <xlrd:rvb i="678"/>
        </ext>
      </extLst>
    </bk>
    <bk>
      <extLst>
        <ext uri="{3e2802c4-a4d2-4d8b-9148-e3be6c30e623}">
          <xlrd:rvb i="679"/>
        </ext>
      </extLst>
    </bk>
    <bk>
      <extLst>
        <ext uri="{3e2802c4-a4d2-4d8b-9148-e3be6c30e623}">
          <xlrd:rvb i="680"/>
        </ext>
      </extLst>
    </bk>
    <bk>
      <extLst>
        <ext uri="{3e2802c4-a4d2-4d8b-9148-e3be6c30e623}">
          <xlrd:rvb i="681"/>
        </ext>
      </extLst>
    </bk>
    <bk>
      <extLst>
        <ext uri="{3e2802c4-a4d2-4d8b-9148-e3be6c30e623}">
          <xlrd:rvb i="682"/>
        </ext>
      </extLst>
    </bk>
    <bk>
      <extLst>
        <ext uri="{3e2802c4-a4d2-4d8b-9148-e3be6c30e623}">
          <xlrd:rvb i="683"/>
        </ext>
      </extLst>
    </bk>
    <bk>
      <extLst>
        <ext uri="{3e2802c4-a4d2-4d8b-9148-e3be6c30e623}">
          <xlrd:rvb i="684"/>
        </ext>
      </extLst>
    </bk>
    <bk>
      <extLst>
        <ext uri="{3e2802c4-a4d2-4d8b-9148-e3be6c30e623}">
          <xlrd:rvb i="685"/>
        </ext>
      </extLst>
    </bk>
    <bk>
      <extLst>
        <ext uri="{3e2802c4-a4d2-4d8b-9148-e3be6c30e623}">
          <xlrd:rvb i="686"/>
        </ext>
      </extLst>
    </bk>
    <bk>
      <extLst>
        <ext uri="{3e2802c4-a4d2-4d8b-9148-e3be6c30e623}">
          <xlrd:rvb i="687"/>
        </ext>
      </extLst>
    </bk>
    <bk>
      <extLst>
        <ext uri="{3e2802c4-a4d2-4d8b-9148-e3be6c30e623}">
          <xlrd:rvb i="688"/>
        </ext>
      </extLst>
    </bk>
    <bk>
      <extLst>
        <ext uri="{3e2802c4-a4d2-4d8b-9148-e3be6c30e623}">
          <xlrd:rvb i="689"/>
        </ext>
      </extLst>
    </bk>
    <bk>
      <extLst>
        <ext uri="{3e2802c4-a4d2-4d8b-9148-e3be6c30e623}">
          <xlrd:rvb i="690"/>
        </ext>
      </extLst>
    </bk>
    <bk>
      <extLst>
        <ext uri="{3e2802c4-a4d2-4d8b-9148-e3be6c30e623}">
          <xlrd:rvb i="691"/>
        </ext>
      </extLst>
    </bk>
    <bk>
      <extLst>
        <ext uri="{3e2802c4-a4d2-4d8b-9148-e3be6c30e623}">
          <xlrd:rvb i="692"/>
        </ext>
      </extLst>
    </bk>
    <bk>
      <extLst>
        <ext uri="{3e2802c4-a4d2-4d8b-9148-e3be6c30e623}">
          <xlrd:rvb i="693"/>
        </ext>
      </extLst>
    </bk>
    <bk>
      <extLst>
        <ext uri="{3e2802c4-a4d2-4d8b-9148-e3be6c30e623}">
          <xlrd:rvb i="694"/>
        </ext>
      </extLst>
    </bk>
    <bk>
      <extLst>
        <ext uri="{3e2802c4-a4d2-4d8b-9148-e3be6c30e623}">
          <xlrd:rvb i="695"/>
        </ext>
      </extLst>
    </bk>
    <bk>
      <extLst>
        <ext uri="{3e2802c4-a4d2-4d8b-9148-e3be6c30e623}">
          <xlrd:rvb i="696"/>
        </ext>
      </extLst>
    </bk>
    <bk>
      <extLst>
        <ext uri="{3e2802c4-a4d2-4d8b-9148-e3be6c30e623}">
          <xlrd:rvb i="697"/>
        </ext>
      </extLst>
    </bk>
    <bk>
      <extLst>
        <ext uri="{3e2802c4-a4d2-4d8b-9148-e3be6c30e623}">
          <xlrd:rvb i="698"/>
        </ext>
      </extLst>
    </bk>
    <bk>
      <extLst>
        <ext uri="{3e2802c4-a4d2-4d8b-9148-e3be6c30e623}">
          <xlrd:rvb i="699"/>
        </ext>
      </extLst>
    </bk>
    <bk>
      <extLst>
        <ext uri="{3e2802c4-a4d2-4d8b-9148-e3be6c30e623}">
          <xlrd:rvb i="700"/>
        </ext>
      </extLst>
    </bk>
    <bk>
      <extLst>
        <ext uri="{3e2802c4-a4d2-4d8b-9148-e3be6c30e623}">
          <xlrd:rvb i="703"/>
        </ext>
      </extLst>
    </bk>
    <bk>
      <extLst>
        <ext uri="{3e2802c4-a4d2-4d8b-9148-e3be6c30e623}">
          <xlrd:rvb i="704"/>
        </ext>
      </extLst>
    </bk>
    <bk>
      <extLst>
        <ext uri="{3e2802c4-a4d2-4d8b-9148-e3be6c30e623}">
          <xlrd:rvb i="705"/>
        </ext>
      </extLst>
    </bk>
    <bk>
      <extLst>
        <ext uri="{3e2802c4-a4d2-4d8b-9148-e3be6c30e623}">
          <xlrd:rvb i="706"/>
        </ext>
      </extLst>
    </bk>
    <bk>
      <extLst>
        <ext uri="{3e2802c4-a4d2-4d8b-9148-e3be6c30e623}">
          <xlrd:rvb i="707"/>
        </ext>
      </extLst>
    </bk>
    <bk>
      <extLst>
        <ext uri="{3e2802c4-a4d2-4d8b-9148-e3be6c30e623}">
          <xlrd:rvb i="708"/>
        </ext>
      </extLst>
    </bk>
    <bk>
      <extLst>
        <ext uri="{3e2802c4-a4d2-4d8b-9148-e3be6c30e623}">
          <xlrd:rvb i="709"/>
        </ext>
      </extLst>
    </bk>
    <bk>
      <extLst>
        <ext uri="{3e2802c4-a4d2-4d8b-9148-e3be6c30e623}">
          <xlrd:rvb i="710"/>
        </ext>
      </extLst>
    </bk>
    <bk>
      <extLst>
        <ext uri="{3e2802c4-a4d2-4d8b-9148-e3be6c30e623}">
          <xlrd:rvb i="711"/>
        </ext>
      </extLst>
    </bk>
    <bk>
      <extLst>
        <ext uri="{3e2802c4-a4d2-4d8b-9148-e3be6c30e623}">
          <xlrd:rvb i="712"/>
        </ext>
      </extLst>
    </bk>
    <bk>
      <extLst>
        <ext uri="{3e2802c4-a4d2-4d8b-9148-e3be6c30e623}">
          <xlrd:rvb i="713"/>
        </ext>
      </extLst>
    </bk>
    <bk>
      <extLst>
        <ext uri="{3e2802c4-a4d2-4d8b-9148-e3be6c30e623}">
          <xlrd:rvb i="714"/>
        </ext>
      </extLst>
    </bk>
    <bk>
      <extLst>
        <ext uri="{3e2802c4-a4d2-4d8b-9148-e3be6c30e623}">
          <xlrd:rvb i="715"/>
        </ext>
      </extLst>
    </bk>
    <bk>
      <extLst>
        <ext uri="{3e2802c4-a4d2-4d8b-9148-e3be6c30e623}">
          <xlrd:rvb i="716"/>
        </ext>
      </extLst>
    </bk>
    <bk>
      <extLst>
        <ext uri="{3e2802c4-a4d2-4d8b-9148-e3be6c30e623}">
          <xlrd:rvb i="717"/>
        </ext>
      </extLst>
    </bk>
    <bk>
      <extLst>
        <ext uri="{3e2802c4-a4d2-4d8b-9148-e3be6c30e623}">
          <xlrd:rvb i="718"/>
        </ext>
      </extLst>
    </bk>
    <bk>
      <extLst>
        <ext uri="{3e2802c4-a4d2-4d8b-9148-e3be6c30e623}">
          <xlrd:rvb i="719"/>
        </ext>
      </extLst>
    </bk>
    <bk>
      <extLst>
        <ext uri="{3e2802c4-a4d2-4d8b-9148-e3be6c30e623}">
          <xlrd:rvb i="720"/>
        </ext>
      </extLst>
    </bk>
    <bk>
      <extLst>
        <ext uri="{3e2802c4-a4d2-4d8b-9148-e3be6c30e623}">
          <xlrd:rvb i="721"/>
        </ext>
      </extLst>
    </bk>
    <bk>
      <extLst>
        <ext uri="{3e2802c4-a4d2-4d8b-9148-e3be6c30e623}">
          <xlrd:rvb i="722"/>
        </ext>
      </extLst>
    </bk>
    <bk>
      <extLst>
        <ext uri="{3e2802c4-a4d2-4d8b-9148-e3be6c30e623}">
          <xlrd:rvb i="723"/>
        </ext>
      </extLst>
    </bk>
    <bk>
      <extLst>
        <ext uri="{3e2802c4-a4d2-4d8b-9148-e3be6c30e623}">
          <xlrd:rvb i="724"/>
        </ext>
      </extLst>
    </bk>
    <bk>
      <extLst>
        <ext uri="{3e2802c4-a4d2-4d8b-9148-e3be6c30e623}">
          <xlrd:rvb i="725"/>
        </ext>
      </extLst>
    </bk>
    <bk>
      <extLst>
        <ext uri="{3e2802c4-a4d2-4d8b-9148-e3be6c30e623}">
          <xlrd:rvb i="726"/>
        </ext>
      </extLst>
    </bk>
    <bk>
      <extLst>
        <ext uri="{3e2802c4-a4d2-4d8b-9148-e3be6c30e623}">
          <xlrd:rvb i="727"/>
        </ext>
      </extLst>
    </bk>
    <bk>
      <extLst>
        <ext uri="{3e2802c4-a4d2-4d8b-9148-e3be6c30e623}">
          <xlrd:rvb i="728"/>
        </ext>
      </extLst>
    </bk>
    <bk>
      <extLst>
        <ext uri="{3e2802c4-a4d2-4d8b-9148-e3be6c30e623}">
          <xlrd:rvb i="729"/>
        </ext>
      </extLst>
    </bk>
    <bk>
      <extLst>
        <ext uri="{3e2802c4-a4d2-4d8b-9148-e3be6c30e623}">
          <xlrd:rvb i="730"/>
        </ext>
      </extLst>
    </bk>
    <bk>
      <extLst>
        <ext uri="{3e2802c4-a4d2-4d8b-9148-e3be6c30e623}">
          <xlrd:rvb i="731"/>
        </ext>
      </extLst>
    </bk>
    <bk>
      <extLst>
        <ext uri="{3e2802c4-a4d2-4d8b-9148-e3be6c30e623}">
          <xlrd:rvb i="732"/>
        </ext>
      </extLst>
    </bk>
    <bk>
      <extLst>
        <ext uri="{3e2802c4-a4d2-4d8b-9148-e3be6c30e623}">
          <xlrd:rvb i="733"/>
        </ext>
      </extLst>
    </bk>
    <bk>
      <extLst>
        <ext uri="{3e2802c4-a4d2-4d8b-9148-e3be6c30e623}">
          <xlrd:rvb i="734"/>
        </ext>
      </extLst>
    </bk>
    <bk>
      <extLst>
        <ext uri="{3e2802c4-a4d2-4d8b-9148-e3be6c30e623}">
          <xlrd:rvb i="735"/>
        </ext>
      </extLst>
    </bk>
    <bk>
      <extLst>
        <ext uri="{3e2802c4-a4d2-4d8b-9148-e3be6c30e623}">
          <xlrd:rvb i="736"/>
        </ext>
      </extLst>
    </bk>
    <bk>
      <extLst>
        <ext uri="{3e2802c4-a4d2-4d8b-9148-e3be6c30e623}">
          <xlrd:rvb i="737"/>
        </ext>
      </extLst>
    </bk>
    <bk>
      <extLst>
        <ext uri="{3e2802c4-a4d2-4d8b-9148-e3be6c30e623}">
          <xlrd:rvb i="738"/>
        </ext>
      </extLst>
    </bk>
    <bk>
      <extLst>
        <ext uri="{3e2802c4-a4d2-4d8b-9148-e3be6c30e623}">
          <xlrd:rvb i="739"/>
        </ext>
      </extLst>
    </bk>
    <bk>
      <extLst>
        <ext uri="{3e2802c4-a4d2-4d8b-9148-e3be6c30e623}">
          <xlrd:rvb i="740"/>
        </ext>
      </extLst>
    </bk>
    <bk>
      <extLst>
        <ext uri="{3e2802c4-a4d2-4d8b-9148-e3be6c30e623}">
          <xlrd:rvb i="741"/>
        </ext>
      </extLst>
    </bk>
    <bk>
      <extLst>
        <ext uri="{3e2802c4-a4d2-4d8b-9148-e3be6c30e623}">
          <xlrd:rvb i="742"/>
        </ext>
      </extLst>
    </bk>
    <bk>
      <extLst>
        <ext uri="{3e2802c4-a4d2-4d8b-9148-e3be6c30e623}">
          <xlrd:rvb i="743"/>
        </ext>
      </extLst>
    </bk>
    <bk>
      <extLst>
        <ext uri="{3e2802c4-a4d2-4d8b-9148-e3be6c30e623}">
          <xlrd:rvb i="744"/>
        </ext>
      </extLst>
    </bk>
    <bk>
      <extLst>
        <ext uri="{3e2802c4-a4d2-4d8b-9148-e3be6c30e623}">
          <xlrd:rvb i="745"/>
        </ext>
      </extLst>
    </bk>
    <bk>
      <extLst>
        <ext uri="{3e2802c4-a4d2-4d8b-9148-e3be6c30e623}">
          <xlrd:rvb i="746"/>
        </ext>
      </extLst>
    </bk>
    <bk>
      <extLst>
        <ext uri="{3e2802c4-a4d2-4d8b-9148-e3be6c30e623}">
          <xlrd:rvb i="747"/>
        </ext>
      </extLst>
    </bk>
    <bk>
      <extLst>
        <ext uri="{3e2802c4-a4d2-4d8b-9148-e3be6c30e623}">
          <xlrd:rvb i="748"/>
        </ext>
      </extLst>
    </bk>
    <bk>
      <extLst>
        <ext uri="{3e2802c4-a4d2-4d8b-9148-e3be6c30e623}">
          <xlrd:rvb i="749"/>
        </ext>
      </extLst>
    </bk>
    <bk>
      <extLst>
        <ext uri="{3e2802c4-a4d2-4d8b-9148-e3be6c30e623}">
          <xlrd:rvb i="750"/>
        </ext>
      </extLst>
    </bk>
    <bk>
      <extLst>
        <ext uri="{3e2802c4-a4d2-4d8b-9148-e3be6c30e623}">
          <xlrd:rvb i="751"/>
        </ext>
      </extLst>
    </bk>
    <bk>
      <extLst>
        <ext uri="{3e2802c4-a4d2-4d8b-9148-e3be6c30e623}">
          <xlrd:rvb i="752"/>
        </ext>
      </extLst>
    </bk>
    <bk>
      <extLst>
        <ext uri="{3e2802c4-a4d2-4d8b-9148-e3be6c30e623}">
          <xlrd:rvb i="753"/>
        </ext>
      </extLst>
    </bk>
    <bk>
      <extLst>
        <ext uri="{3e2802c4-a4d2-4d8b-9148-e3be6c30e623}">
          <xlrd:rvb i="754"/>
        </ext>
      </extLst>
    </bk>
    <bk>
      <extLst>
        <ext uri="{3e2802c4-a4d2-4d8b-9148-e3be6c30e623}">
          <xlrd:rvb i="755"/>
        </ext>
      </extLst>
    </bk>
    <bk>
      <extLst>
        <ext uri="{3e2802c4-a4d2-4d8b-9148-e3be6c30e623}">
          <xlrd:rvb i="756"/>
        </ext>
      </extLst>
    </bk>
    <bk>
      <extLst>
        <ext uri="{3e2802c4-a4d2-4d8b-9148-e3be6c30e623}">
          <xlrd:rvb i="757"/>
        </ext>
      </extLst>
    </bk>
    <bk>
      <extLst>
        <ext uri="{3e2802c4-a4d2-4d8b-9148-e3be6c30e623}">
          <xlrd:rvb i="758"/>
        </ext>
      </extLst>
    </bk>
    <bk>
      <extLst>
        <ext uri="{3e2802c4-a4d2-4d8b-9148-e3be6c30e623}">
          <xlrd:rvb i="759"/>
        </ext>
      </extLst>
    </bk>
    <bk>
      <extLst>
        <ext uri="{3e2802c4-a4d2-4d8b-9148-e3be6c30e623}">
          <xlrd:rvb i="760"/>
        </ext>
      </extLst>
    </bk>
    <bk>
      <extLst>
        <ext uri="{3e2802c4-a4d2-4d8b-9148-e3be6c30e623}">
          <xlrd:rvb i="761"/>
        </ext>
      </extLst>
    </bk>
    <bk>
      <extLst>
        <ext uri="{3e2802c4-a4d2-4d8b-9148-e3be6c30e623}">
          <xlrd:rvb i="762"/>
        </ext>
      </extLst>
    </bk>
    <bk>
      <extLst>
        <ext uri="{3e2802c4-a4d2-4d8b-9148-e3be6c30e623}">
          <xlrd:rvb i="763"/>
        </ext>
      </extLst>
    </bk>
    <bk>
      <extLst>
        <ext uri="{3e2802c4-a4d2-4d8b-9148-e3be6c30e623}">
          <xlrd:rvb i="764"/>
        </ext>
      </extLst>
    </bk>
    <bk>
      <extLst>
        <ext uri="{3e2802c4-a4d2-4d8b-9148-e3be6c30e623}">
          <xlrd:rvb i="767"/>
        </ext>
      </extLst>
    </bk>
    <bk>
      <extLst>
        <ext uri="{3e2802c4-a4d2-4d8b-9148-e3be6c30e623}">
          <xlrd:rvb i="768"/>
        </ext>
      </extLst>
    </bk>
    <bk>
      <extLst>
        <ext uri="{3e2802c4-a4d2-4d8b-9148-e3be6c30e623}">
          <xlrd:rvb i="769"/>
        </ext>
      </extLst>
    </bk>
    <bk>
      <extLst>
        <ext uri="{3e2802c4-a4d2-4d8b-9148-e3be6c30e623}">
          <xlrd:rvb i="770"/>
        </ext>
      </extLst>
    </bk>
    <bk>
      <extLst>
        <ext uri="{3e2802c4-a4d2-4d8b-9148-e3be6c30e623}">
          <xlrd:rvb i="771"/>
        </ext>
      </extLst>
    </bk>
    <bk>
      <extLst>
        <ext uri="{3e2802c4-a4d2-4d8b-9148-e3be6c30e623}">
          <xlrd:rvb i="772"/>
        </ext>
      </extLst>
    </bk>
    <bk>
      <extLst>
        <ext uri="{3e2802c4-a4d2-4d8b-9148-e3be6c30e623}">
          <xlrd:rvb i="773"/>
        </ext>
      </extLst>
    </bk>
    <bk>
      <extLst>
        <ext uri="{3e2802c4-a4d2-4d8b-9148-e3be6c30e623}">
          <xlrd:rvb i="774"/>
        </ext>
      </extLst>
    </bk>
    <bk>
      <extLst>
        <ext uri="{3e2802c4-a4d2-4d8b-9148-e3be6c30e623}">
          <xlrd:rvb i="775"/>
        </ext>
      </extLst>
    </bk>
    <bk>
      <extLst>
        <ext uri="{3e2802c4-a4d2-4d8b-9148-e3be6c30e623}">
          <xlrd:rvb i="776"/>
        </ext>
      </extLst>
    </bk>
    <bk>
      <extLst>
        <ext uri="{3e2802c4-a4d2-4d8b-9148-e3be6c30e623}">
          <xlrd:rvb i="777"/>
        </ext>
      </extLst>
    </bk>
    <bk>
      <extLst>
        <ext uri="{3e2802c4-a4d2-4d8b-9148-e3be6c30e623}">
          <xlrd:rvb i="778"/>
        </ext>
      </extLst>
    </bk>
    <bk>
      <extLst>
        <ext uri="{3e2802c4-a4d2-4d8b-9148-e3be6c30e623}">
          <xlrd:rvb i="779"/>
        </ext>
      </extLst>
    </bk>
    <bk>
      <extLst>
        <ext uri="{3e2802c4-a4d2-4d8b-9148-e3be6c30e623}">
          <xlrd:rvb i="780"/>
        </ext>
      </extLst>
    </bk>
    <bk>
      <extLst>
        <ext uri="{3e2802c4-a4d2-4d8b-9148-e3be6c30e623}">
          <xlrd:rvb i="781"/>
        </ext>
      </extLst>
    </bk>
    <bk>
      <extLst>
        <ext uri="{3e2802c4-a4d2-4d8b-9148-e3be6c30e623}">
          <xlrd:rvb i="782"/>
        </ext>
      </extLst>
    </bk>
    <bk>
      <extLst>
        <ext uri="{3e2802c4-a4d2-4d8b-9148-e3be6c30e623}">
          <xlrd:rvb i="783"/>
        </ext>
      </extLst>
    </bk>
    <bk>
      <extLst>
        <ext uri="{3e2802c4-a4d2-4d8b-9148-e3be6c30e623}">
          <xlrd:rvb i="784"/>
        </ext>
      </extLst>
    </bk>
    <bk>
      <extLst>
        <ext uri="{3e2802c4-a4d2-4d8b-9148-e3be6c30e623}">
          <xlrd:rvb i="785"/>
        </ext>
      </extLst>
    </bk>
    <bk>
      <extLst>
        <ext uri="{3e2802c4-a4d2-4d8b-9148-e3be6c30e623}">
          <xlrd:rvb i="786"/>
        </ext>
      </extLst>
    </bk>
    <bk>
      <extLst>
        <ext uri="{3e2802c4-a4d2-4d8b-9148-e3be6c30e623}">
          <xlrd:rvb i="787"/>
        </ext>
      </extLst>
    </bk>
    <bk>
      <extLst>
        <ext uri="{3e2802c4-a4d2-4d8b-9148-e3be6c30e623}">
          <xlrd:rvb i="788"/>
        </ext>
      </extLst>
    </bk>
    <bk>
      <extLst>
        <ext uri="{3e2802c4-a4d2-4d8b-9148-e3be6c30e623}">
          <xlrd:rvb i="789"/>
        </ext>
      </extLst>
    </bk>
    <bk>
      <extLst>
        <ext uri="{3e2802c4-a4d2-4d8b-9148-e3be6c30e623}">
          <xlrd:rvb i="790"/>
        </ext>
      </extLst>
    </bk>
    <bk>
      <extLst>
        <ext uri="{3e2802c4-a4d2-4d8b-9148-e3be6c30e623}">
          <xlrd:rvb i="791"/>
        </ext>
      </extLst>
    </bk>
    <bk>
      <extLst>
        <ext uri="{3e2802c4-a4d2-4d8b-9148-e3be6c30e623}">
          <xlrd:rvb i="792"/>
        </ext>
      </extLst>
    </bk>
    <bk>
      <extLst>
        <ext uri="{3e2802c4-a4d2-4d8b-9148-e3be6c30e623}">
          <xlrd:rvb i="793"/>
        </ext>
      </extLst>
    </bk>
    <bk>
      <extLst>
        <ext uri="{3e2802c4-a4d2-4d8b-9148-e3be6c30e623}">
          <xlrd:rvb i="794"/>
        </ext>
      </extLst>
    </bk>
    <bk>
      <extLst>
        <ext uri="{3e2802c4-a4d2-4d8b-9148-e3be6c30e623}">
          <xlrd:rvb i="795"/>
        </ext>
      </extLst>
    </bk>
    <bk>
      <extLst>
        <ext uri="{3e2802c4-a4d2-4d8b-9148-e3be6c30e623}">
          <xlrd:rvb i="796"/>
        </ext>
      </extLst>
    </bk>
    <bk>
      <extLst>
        <ext uri="{3e2802c4-a4d2-4d8b-9148-e3be6c30e623}">
          <xlrd:rvb i="797"/>
        </ext>
      </extLst>
    </bk>
    <bk>
      <extLst>
        <ext uri="{3e2802c4-a4d2-4d8b-9148-e3be6c30e623}">
          <xlrd:rvb i="798"/>
        </ext>
      </extLst>
    </bk>
    <bk>
      <extLst>
        <ext uri="{3e2802c4-a4d2-4d8b-9148-e3be6c30e623}">
          <xlrd:rvb i="799"/>
        </ext>
      </extLst>
    </bk>
    <bk>
      <extLst>
        <ext uri="{3e2802c4-a4d2-4d8b-9148-e3be6c30e623}">
          <xlrd:rvb i="800"/>
        </ext>
      </extLst>
    </bk>
    <bk>
      <extLst>
        <ext uri="{3e2802c4-a4d2-4d8b-9148-e3be6c30e623}">
          <xlrd:rvb i="801"/>
        </ext>
      </extLst>
    </bk>
    <bk>
      <extLst>
        <ext uri="{3e2802c4-a4d2-4d8b-9148-e3be6c30e623}">
          <xlrd:rvb i="802"/>
        </ext>
      </extLst>
    </bk>
    <bk>
      <extLst>
        <ext uri="{3e2802c4-a4d2-4d8b-9148-e3be6c30e623}">
          <xlrd:rvb i="803"/>
        </ext>
      </extLst>
    </bk>
    <bk>
      <extLst>
        <ext uri="{3e2802c4-a4d2-4d8b-9148-e3be6c30e623}">
          <xlrd:rvb i="804"/>
        </ext>
      </extLst>
    </bk>
    <bk>
      <extLst>
        <ext uri="{3e2802c4-a4d2-4d8b-9148-e3be6c30e623}">
          <xlrd:rvb i="805"/>
        </ext>
      </extLst>
    </bk>
    <bk>
      <extLst>
        <ext uri="{3e2802c4-a4d2-4d8b-9148-e3be6c30e623}">
          <xlrd:rvb i="806"/>
        </ext>
      </extLst>
    </bk>
    <bk>
      <extLst>
        <ext uri="{3e2802c4-a4d2-4d8b-9148-e3be6c30e623}">
          <xlrd:rvb i="807"/>
        </ext>
      </extLst>
    </bk>
    <bk>
      <extLst>
        <ext uri="{3e2802c4-a4d2-4d8b-9148-e3be6c30e623}">
          <xlrd:rvb i="808"/>
        </ext>
      </extLst>
    </bk>
    <bk>
      <extLst>
        <ext uri="{3e2802c4-a4d2-4d8b-9148-e3be6c30e623}">
          <xlrd:rvb i="809"/>
        </ext>
      </extLst>
    </bk>
    <bk>
      <extLst>
        <ext uri="{3e2802c4-a4d2-4d8b-9148-e3be6c30e623}">
          <xlrd:rvb i="810"/>
        </ext>
      </extLst>
    </bk>
    <bk>
      <extLst>
        <ext uri="{3e2802c4-a4d2-4d8b-9148-e3be6c30e623}">
          <xlrd:rvb i="811"/>
        </ext>
      </extLst>
    </bk>
    <bk>
      <extLst>
        <ext uri="{3e2802c4-a4d2-4d8b-9148-e3be6c30e623}">
          <xlrd:rvb i="812"/>
        </ext>
      </extLst>
    </bk>
    <bk>
      <extLst>
        <ext uri="{3e2802c4-a4d2-4d8b-9148-e3be6c30e623}">
          <xlrd:rvb i="813"/>
        </ext>
      </extLst>
    </bk>
    <bk>
      <extLst>
        <ext uri="{3e2802c4-a4d2-4d8b-9148-e3be6c30e623}">
          <xlrd:rvb i="814"/>
        </ext>
      </extLst>
    </bk>
    <bk>
      <extLst>
        <ext uri="{3e2802c4-a4d2-4d8b-9148-e3be6c30e623}">
          <xlrd:rvb i="815"/>
        </ext>
      </extLst>
    </bk>
    <bk>
      <extLst>
        <ext uri="{3e2802c4-a4d2-4d8b-9148-e3be6c30e623}">
          <xlrd:rvb i="816"/>
        </ext>
      </extLst>
    </bk>
    <bk>
      <extLst>
        <ext uri="{3e2802c4-a4d2-4d8b-9148-e3be6c30e623}">
          <xlrd:rvb i="817"/>
        </ext>
      </extLst>
    </bk>
    <bk>
      <extLst>
        <ext uri="{3e2802c4-a4d2-4d8b-9148-e3be6c30e623}">
          <xlrd:rvb i="818"/>
        </ext>
      </extLst>
    </bk>
    <bk>
      <extLst>
        <ext uri="{3e2802c4-a4d2-4d8b-9148-e3be6c30e623}">
          <xlrd:rvb i="819"/>
        </ext>
      </extLst>
    </bk>
    <bk>
      <extLst>
        <ext uri="{3e2802c4-a4d2-4d8b-9148-e3be6c30e623}">
          <xlrd:rvb i="820"/>
        </ext>
      </extLst>
    </bk>
    <bk>
      <extLst>
        <ext uri="{3e2802c4-a4d2-4d8b-9148-e3be6c30e623}">
          <xlrd:rvb i="821"/>
        </ext>
      </extLst>
    </bk>
    <bk>
      <extLst>
        <ext uri="{3e2802c4-a4d2-4d8b-9148-e3be6c30e623}">
          <xlrd:rvb i="822"/>
        </ext>
      </extLst>
    </bk>
    <bk>
      <extLst>
        <ext uri="{3e2802c4-a4d2-4d8b-9148-e3be6c30e623}">
          <xlrd:rvb i="823"/>
        </ext>
      </extLst>
    </bk>
    <bk>
      <extLst>
        <ext uri="{3e2802c4-a4d2-4d8b-9148-e3be6c30e623}">
          <xlrd:rvb i="824"/>
        </ext>
      </extLst>
    </bk>
    <bk>
      <extLst>
        <ext uri="{3e2802c4-a4d2-4d8b-9148-e3be6c30e623}">
          <xlrd:rvb i="825"/>
        </ext>
      </extLst>
    </bk>
    <bk>
      <extLst>
        <ext uri="{3e2802c4-a4d2-4d8b-9148-e3be6c30e623}">
          <xlrd:rvb i="828"/>
        </ext>
      </extLst>
    </bk>
    <bk>
      <extLst>
        <ext uri="{3e2802c4-a4d2-4d8b-9148-e3be6c30e623}">
          <xlrd:rvb i="829"/>
        </ext>
      </extLst>
    </bk>
    <bk>
      <extLst>
        <ext uri="{3e2802c4-a4d2-4d8b-9148-e3be6c30e623}">
          <xlrd:rvb i="830"/>
        </ext>
      </extLst>
    </bk>
    <bk>
      <extLst>
        <ext uri="{3e2802c4-a4d2-4d8b-9148-e3be6c30e623}">
          <xlrd:rvb i="831"/>
        </ext>
      </extLst>
    </bk>
    <bk>
      <extLst>
        <ext uri="{3e2802c4-a4d2-4d8b-9148-e3be6c30e623}">
          <xlrd:rvb i="832"/>
        </ext>
      </extLst>
    </bk>
    <bk>
      <extLst>
        <ext uri="{3e2802c4-a4d2-4d8b-9148-e3be6c30e623}">
          <xlrd:rvb i="833"/>
        </ext>
      </extLst>
    </bk>
    <bk>
      <extLst>
        <ext uri="{3e2802c4-a4d2-4d8b-9148-e3be6c30e623}">
          <xlrd:rvb i="834"/>
        </ext>
      </extLst>
    </bk>
    <bk>
      <extLst>
        <ext uri="{3e2802c4-a4d2-4d8b-9148-e3be6c30e623}">
          <xlrd:rvb i="835"/>
        </ext>
      </extLst>
    </bk>
    <bk>
      <extLst>
        <ext uri="{3e2802c4-a4d2-4d8b-9148-e3be6c30e623}">
          <xlrd:rvb i="836"/>
        </ext>
      </extLst>
    </bk>
    <bk>
      <extLst>
        <ext uri="{3e2802c4-a4d2-4d8b-9148-e3be6c30e623}">
          <xlrd:rvb i="837"/>
        </ext>
      </extLst>
    </bk>
    <bk>
      <extLst>
        <ext uri="{3e2802c4-a4d2-4d8b-9148-e3be6c30e623}">
          <xlrd:rvb i="838"/>
        </ext>
      </extLst>
    </bk>
    <bk>
      <extLst>
        <ext uri="{3e2802c4-a4d2-4d8b-9148-e3be6c30e623}">
          <xlrd:rvb i="839"/>
        </ext>
      </extLst>
    </bk>
    <bk>
      <extLst>
        <ext uri="{3e2802c4-a4d2-4d8b-9148-e3be6c30e623}">
          <xlrd:rvb i="840"/>
        </ext>
      </extLst>
    </bk>
    <bk>
      <extLst>
        <ext uri="{3e2802c4-a4d2-4d8b-9148-e3be6c30e623}">
          <xlrd:rvb i="841"/>
        </ext>
      </extLst>
    </bk>
    <bk>
      <extLst>
        <ext uri="{3e2802c4-a4d2-4d8b-9148-e3be6c30e623}">
          <xlrd:rvb i="842"/>
        </ext>
      </extLst>
    </bk>
    <bk>
      <extLst>
        <ext uri="{3e2802c4-a4d2-4d8b-9148-e3be6c30e623}">
          <xlrd:rvb i="843"/>
        </ext>
      </extLst>
    </bk>
    <bk>
      <extLst>
        <ext uri="{3e2802c4-a4d2-4d8b-9148-e3be6c30e623}">
          <xlrd:rvb i="844"/>
        </ext>
      </extLst>
    </bk>
    <bk>
      <extLst>
        <ext uri="{3e2802c4-a4d2-4d8b-9148-e3be6c30e623}">
          <xlrd:rvb i="845"/>
        </ext>
      </extLst>
    </bk>
    <bk>
      <extLst>
        <ext uri="{3e2802c4-a4d2-4d8b-9148-e3be6c30e623}">
          <xlrd:rvb i="846"/>
        </ext>
      </extLst>
    </bk>
    <bk>
      <extLst>
        <ext uri="{3e2802c4-a4d2-4d8b-9148-e3be6c30e623}">
          <xlrd:rvb i="847"/>
        </ext>
      </extLst>
    </bk>
    <bk>
      <extLst>
        <ext uri="{3e2802c4-a4d2-4d8b-9148-e3be6c30e623}">
          <xlrd:rvb i="848"/>
        </ext>
      </extLst>
    </bk>
    <bk>
      <extLst>
        <ext uri="{3e2802c4-a4d2-4d8b-9148-e3be6c30e623}">
          <xlrd:rvb i="849"/>
        </ext>
      </extLst>
    </bk>
    <bk>
      <extLst>
        <ext uri="{3e2802c4-a4d2-4d8b-9148-e3be6c30e623}">
          <xlrd:rvb i="850"/>
        </ext>
      </extLst>
    </bk>
    <bk>
      <extLst>
        <ext uri="{3e2802c4-a4d2-4d8b-9148-e3be6c30e623}">
          <xlrd:rvb i="851"/>
        </ext>
      </extLst>
    </bk>
    <bk>
      <extLst>
        <ext uri="{3e2802c4-a4d2-4d8b-9148-e3be6c30e623}">
          <xlrd:rvb i="852"/>
        </ext>
      </extLst>
    </bk>
    <bk>
      <extLst>
        <ext uri="{3e2802c4-a4d2-4d8b-9148-e3be6c30e623}">
          <xlrd:rvb i="853"/>
        </ext>
      </extLst>
    </bk>
    <bk>
      <extLst>
        <ext uri="{3e2802c4-a4d2-4d8b-9148-e3be6c30e623}">
          <xlrd:rvb i="854"/>
        </ext>
      </extLst>
    </bk>
    <bk>
      <extLst>
        <ext uri="{3e2802c4-a4d2-4d8b-9148-e3be6c30e623}">
          <xlrd:rvb i="855"/>
        </ext>
      </extLst>
    </bk>
    <bk>
      <extLst>
        <ext uri="{3e2802c4-a4d2-4d8b-9148-e3be6c30e623}">
          <xlrd:rvb i="856"/>
        </ext>
      </extLst>
    </bk>
    <bk>
      <extLst>
        <ext uri="{3e2802c4-a4d2-4d8b-9148-e3be6c30e623}">
          <xlrd:rvb i="857"/>
        </ext>
      </extLst>
    </bk>
    <bk>
      <extLst>
        <ext uri="{3e2802c4-a4d2-4d8b-9148-e3be6c30e623}">
          <xlrd:rvb i="858"/>
        </ext>
      </extLst>
    </bk>
    <bk>
      <extLst>
        <ext uri="{3e2802c4-a4d2-4d8b-9148-e3be6c30e623}">
          <xlrd:rvb i="859"/>
        </ext>
      </extLst>
    </bk>
    <bk>
      <extLst>
        <ext uri="{3e2802c4-a4d2-4d8b-9148-e3be6c30e623}">
          <xlrd:rvb i="860"/>
        </ext>
      </extLst>
    </bk>
    <bk>
      <extLst>
        <ext uri="{3e2802c4-a4d2-4d8b-9148-e3be6c30e623}">
          <xlrd:rvb i="861"/>
        </ext>
      </extLst>
    </bk>
    <bk>
      <extLst>
        <ext uri="{3e2802c4-a4d2-4d8b-9148-e3be6c30e623}">
          <xlrd:rvb i="862"/>
        </ext>
      </extLst>
    </bk>
    <bk>
      <extLst>
        <ext uri="{3e2802c4-a4d2-4d8b-9148-e3be6c30e623}">
          <xlrd:rvb i="863"/>
        </ext>
      </extLst>
    </bk>
    <bk>
      <extLst>
        <ext uri="{3e2802c4-a4d2-4d8b-9148-e3be6c30e623}">
          <xlrd:rvb i="864"/>
        </ext>
      </extLst>
    </bk>
    <bk>
      <extLst>
        <ext uri="{3e2802c4-a4d2-4d8b-9148-e3be6c30e623}">
          <xlrd:rvb i="865"/>
        </ext>
      </extLst>
    </bk>
    <bk>
      <extLst>
        <ext uri="{3e2802c4-a4d2-4d8b-9148-e3be6c30e623}">
          <xlrd:rvb i="866"/>
        </ext>
      </extLst>
    </bk>
    <bk>
      <extLst>
        <ext uri="{3e2802c4-a4d2-4d8b-9148-e3be6c30e623}">
          <xlrd:rvb i="867"/>
        </ext>
      </extLst>
    </bk>
    <bk>
      <extLst>
        <ext uri="{3e2802c4-a4d2-4d8b-9148-e3be6c30e623}">
          <xlrd:rvb i="868"/>
        </ext>
      </extLst>
    </bk>
    <bk>
      <extLst>
        <ext uri="{3e2802c4-a4d2-4d8b-9148-e3be6c30e623}">
          <xlrd:rvb i="869"/>
        </ext>
      </extLst>
    </bk>
    <bk>
      <extLst>
        <ext uri="{3e2802c4-a4d2-4d8b-9148-e3be6c30e623}">
          <xlrd:rvb i="870"/>
        </ext>
      </extLst>
    </bk>
    <bk>
      <extLst>
        <ext uri="{3e2802c4-a4d2-4d8b-9148-e3be6c30e623}">
          <xlrd:rvb i="871"/>
        </ext>
      </extLst>
    </bk>
    <bk>
      <extLst>
        <ext uri="{3e2802c4-a4d2-4d8b-9148-e3be6c30e623}">
          <xlrd:rvb i="872"/>
        </ext>
      </extLst>
    </bk>
    <bk>
      <extLst>
        <ext uri="{3e2802c4-a4d2-4d8b-9148-e3be6c30e623}">
          <xlrd:rvb i="873"/>
        </ext>
      </extLst>
    </bk>
    <bk>
      <extLst>
        <ext uri="{3e2802c4-a4d2-4d8b-9148-e3be6c30e623}">
          <xlrd:rvb i="874"/>
        </ext>
      </extLst>
    </bk>
    <bk>
      <extLst>
        <ext uri="{3e2802c4-a4d2-4d8b-9148-e3be6c30e623}">
          <xlrd:rvb i="875"/>
        </ext>
      </extLst>
    </bk>
    <bk>
      <extLst>
        <ext uri="{3e2802c4-a4d2-4d8b-9148-e3be6c30e623}">
          <xlrd:rvb i="876"/>
        </ext>
      </extLst>
    </bk>
    <bk>
      <extLst>
        <ext uri="{3e2802c4-a4d2-4d8b-9148-e3be6c30e623}">
          <xlrd:rvb i="877"/>
        </ext>
      </extLst>
    </bk>
    <bk>
      <extLst>
        <ext uri="{3e2802c4-a4d2-4d8b-9148-e3be6c30e623}">
          <xlrd:rvb i="878"/>
        </ext>
      </extLst>
    </bk>
    <bk>
      <extLst>
        <ext uri="{3e2802c4-a4d2-4d8b-9148-e3be6c30e623}">
          <xlrd:rvb i="879"/>
        </ext>
      </extLst>
    </bk>
    <bk>
      <extLst>
        <ext uri="{3e2802c4-a4d2-4d8b-9148-e3be6c30e623}">
          <xlrd:rvb i="880"/>
        </ext>
      </extLst>
    </bk>
    <bk>
      <extLst>
        <ext uri="{3e2802c4-a4d2-4d8b-9148-e3be6c30e623}">
          <xlrd:rvb i="881"/>
        </ext>
      </extLst>
    </bk>
    <bk>
      <extLst>
        <ext uri="{3e2802c4-a4d2-4d8b-9148-e3be6c30e623}">
          <xlrd:rvb i="882"/>
        </ext>
      </extLst>
    </bk>
    <bk>
      <extLst>
        <ext uri="{3e2802c4-a4d2-4d8b-9148-e3be6c30e623}">
          <xlrd:rvb i="885"/>
        </ext>
      </extLst>
    </bk>
    <bk>
      <extLst>
        <ext uri="{3e2802c4-a4d2-4d8b-9148-e3be6c30e623}">
          <xlrd:rvb i="886"/>
        </ext>
      </extLst>
    </bk>
    <bk>
      <extLst>
        <ext uri="{3e2802c4-a4d2-4d8b-9148-e3be6c30e623}">
          <xlrd:rvb i="887"/>
        </ext>
      </extLst>
    </bk>
    <bk>
      <extLst>
        <ext uri="{3e2802c4-a4d2-4d8b-9148-e3be6c30e623}">
          <xlrd:rvb i="888"/>
        </ext>
      </extLst>
    </bk>
    <bk>
      <extLst>
        <ext uri="{3e2802c4-a4d2-4d8b-9148-e3be6c30e623}">
          <xlrd:rvb i="889"/>
        </ext>
      </extLst>
    </bk>
    <bk>
      <extLst>
        <ext uri="{3e2802c4-a4d2-4d8b-9148-e3be6c30e623}">
          <xlrd:rvb i="890"/>
        </ext>
      </extLst>
    </bk>
    <bk>
      <extLst>
        <ext uri="{3e2802c4-a4d2-4d8b-9148-e3be6c30e623}">
          <xlrd:rvb i="891"/>
        </ext>
      </extLst>
    </bk>
    <bk>
      <extLst>
        <ext uri="{3e2802c4-a4d2-4d8b-9148-e3be6c30e623}">
          <xlrd:rvb i="892"/>
        </ext>
      </extLst>
    </bk>
    <bk>
      <extLst>
        <ext uri="{3e2802c4-a4d2-4d8b-9148-e3be6c30e623}">
          <xlrd:rvb i="893"/>
        </ext>
      </extLst>
    </bk>
    <bk>
      <extLst>
        <ext uri="{3e2802c4-a4d2-4d8b-9148-e3be6c30e623}">
          <xlrd:rvb i="894"/>
        </ext>
      </extLst>
    </bk>
    <bk>
      <extLst>
        <ext uri="{3e2802c4-a4d2-4d8b-9148-e3be6c30e623}">
          <xlrd:rvb i="895"/>
        </ext>
      </extLst>
    </bk>
    <bk>
      <extLst>
        <ext uri="{3e2802c4-a4d2-4d8b-9148-e3be6c30e623}">
          <xlrd:rvb i="896"/>
        </ext>
      </extLst>
    </bk>
    <bk>
      <extLst>
        <ext uri="{3e2802c4-a4d2-4d8b-9148-e3be6c30e623}">
          <xlrd:rvb i="897"/>
        </ext>
      </extLst>
    </bk>
    <bk>
      <extLst>
        <ext uri="{3e2802c4-a4d2-4d8b-9148-e3be6c30e623}">
          <xlrd:rvb i="898"/>
        </ext>
      </extLst>
    </bk>
    <bk>
      <extLst>
        <ext uri="{3e2802c4-a4d2-4d8b-9148-e3be6c30e623}">
          <xlrd:rvb i="899"/>
        </ext>
      </extLst>
    </bk>
    <bk>
      <extLst>
        <ext uri="{3e2802c4-a4d2-4d8b-9148-e3be6c30e623}">
          <xlrd:rvb i="900"/>
        </ext>
      </extLst>
    </bk>
    <bk>
      <extLst>
        <ext uri="{3e2802c4-a4d2-4d8b-9148-e3be6c30e623}">
          <xlrd:rvb i="901"/>
        </ext>
      </extLst>
    </bk>
    <bk>
      <extLst>
        <ext uri="{3e2802c4-a4d2-4d8b-9148-e3be6c30e623}">
          <xlrd:rvb i="902"/>
        </ext>
      </extLst>
    </bk>
    <bk>
      <extLst>
        <ext uri="{3e2802c4-a4d2-4d8b-9148-e3be6c30e623}">
          <xlrd:rvb i="903"/>
        </ext>
      </extLst>
    </bk>
    <bk>
      <extLst>
        <ext uri="{3e2802c4-a4d2-4d8b-9148-e3be6c30e623}">
          <xlrd:rvb i="904"/>
        </ext>
      </extLst>
    </bk>
    <bk>
      <extLst>
        <ext uri="{3e2802c4-a4d2-4d8b-9148-e3be6c30e623}">
          <xlrd:rvb i="905"/>
        </ext>
      </extLst>
    </bk>
    <bk>
      <extLst>
        <ext uri="{3e2802c4-a4d2-4d8b-9148-e3be6c30e623}">
          <xlrd:rvb i="906"/>
        </ext>
      </extLst>
    </bk>
    <bk>
      <extLst>
        <ext uri="{3e2802c4-a4d2-4d8b-9148-e3be6c30e623}">
          <xlrd:rvb i="907"/>
        </ext>
      </extLst>
    </bk>
    <bk>
      <extLst>
        <ext uri="{3e2802c4-a4d2-4d8b-9148-e3be6c30e623}">
          <xlrd:rvb i="908"/>
        </ext>
      </extLst>
    </bk>
    <bk>
      <extLst>
        <ext uri="{3e2802c4-a4d2-4d8b-9148-e3be6c30e623}">
          <xlrd:rvb i="909"/>
        </ext>
      </extLst>
    </bk>
    <bk>
      <extLst>
        <ext uri="{3e2802c4-a4d2-4d8b-9148-e3be6c30e623}">
          <xlrd:rvb i="910"/>
        </ext>
      </extLst>
    </bk>
    <bk>
      <extLst>
        <ext uri="{3e2802c4-a4d2-4d8b-9148-e3be6c30e623}">
          <xlrd:rvb i="911"/>
        </ext>
      </extLst>
    </bk>
    <bk>
      <extLst>
        <ext uri="{3e2802c4-a4d2-4d8b-9148-e3be6c30e623}">
          <xlrd:rvb i="912"/>
        </ext>
      </extLst>
    </bk>
    <bk>
      <extLst>
        <ext uri="{3e2802c4-a4d2-4d8b-9148-e3be6c30e623}">
          <xlrd:rvb i="913"/>
        </ext>
      </extLst>
    </bk>
    <bk>
      <extLst>
        <ext uri="{3e2802c4-a4d2-4d8b-9148-e3be6c30e623}">
          <xlrd:rvb i="914"/>
        </ext>
      </extLst>
    </bk>
    <bk>
      <extLst>
        <ext uri="{3e2802c4-a4d2-4d8b-9148-e3be6c30e623}">
          <xlrd:rvb i="915"/>
        </ext>
      </extLst>
    </bk>
    <bk>
      <extLst>
        <ext uri="{3e2802c4-a4d2-4d8b-9148-e3be6c30e623}">
          <xlrd:rvb i="916"/>
        </ext>
      </extLst>
    </bk>
    <bk>
      <extLst>
        <ext uri="{3e2802c4-a4d2-4d8b-9148-e3be6c30e623}">
          <xlrd:rvb i="917"/>
        </ext>
      </extLst>
    </bk>
    <bk>
      <extLst>
        <ext uri="{3e2802c4-a4d2-4d8b-9148-e3be6c30e623}">
          <xlrd:rvb i="918"/>
        </ext>
      </extLst>
    </bk>
    <bk>
      <extLst>
        <ext uri="{3e2802c4-a4d2-4d8b-9148-e3be6c30e623}">
          <xlrd:rvb i="919"/>
        </ext>
      </extLst>
    </bk>
    <bk>
      <extLst>
        <ext uri="{3e2802c4-a4d2-4d8b-9148-e3be6c30e623}">
          <xlrd:rvb i="920"/>
        </ext>
      </extLst>
    </bk>
    <bk>
      <extLst>
        <ext uri="{3e2802c4-a4d2-4d8b-9148-e3be6c30e623}">
          <xlrd:rvb i="921"/>
        </ext>
      </extLst>
    </bk>
    <bk>
      <extLst>
        <ext uri="{3e2802c4-a4d2-4d8b-9148-e3be6c30e623}">
          <xlrd:rvb i="922"/>
        </ext>
      </extLst>
    </bk>
    <bk>
      <extLst>
        <ext uri="{3e2802c4-a4d2-4d8b-9148-e3be6c30e623}">
          <xlrd:rvb i="923"/>
        </ext>
      </extLst>
    </bk>
    <bk>
      <extLst>
        <ext uri="{3e2802c4-a4d2-4d8b-9148-e3be6c30e623}">
          <xlrd:rvb i="924"/>
        </ext>
      </extLst>
    </bk>
    <bk>
      <extLst>
        <ext uri="{3e2802c4-a4d2-4d8b-9148-e3be6c30e623}">
          <xlrd:rvb i="925"/>
        </ext>
      </extLst>
    </bk>
    <bk>
      <extLst>
        <ext uri="{3e2802c4-a4d2-4d8b-9148-e3be6c30e623}">
          <xlrd:rvb i="926"/>
        </ext>
      </extLst>
    </bk>
    <bk>
      <extLst>
        <ext uri="{3e2802c4-a4d2-4d8b-9148-e3be6c30e623}">
          <xlrd:rvb i="927"/>
        </ext>
      </extLst>
    </bk>
    <bk>
      <extLst>
        <ext uri="{3e2802c4-a4d2-4d8b-9148-e3be6c30e623}">
          <xlrd:rvb i="928"/>
        </ext>
      </extLst>
    </bk>
    <bk>
      <extLst>
        <ext uri="{3e2802c4-a4d2-4d8b-9148-e3be6c30e623}">
          <xlrd:rvb i="929"/>
        </ext>
      </extLst>
    </bk>
    <bk>
      <extLst>
        <ext uri="{3e2802c4-a4d2-4d8b-9148-e3be6c30e623}">
          <xlrd:rvb i="930"/>
        </ext>
      </extLst>
    </bk>
    <bk>
      <extLst>
        <ext uri="{3e2802c4-a4d2-4d8b-9148-e3be6c30e623}">
          <xlrd:rvb i="931"/>
        </ext>
      </extLst>
    </bk>
    <bk>
      <extLst>
        <ext uri="{3e2802c4-a4d2-4d8b-9148-e3be6c30e623}">
          <xlrd:rvb i="932"/>
        </ext>
      </extLst>
    </bk>
    <bk>
      <extLst>
        <ext uri="{3e2802c4-a4d2-4d8b-9148-e3be6c30e623}">
          <xlrd:rvb i="933"/>
        </ext>
      </extLst>
    </bk>
    <bk>
      <extLst>
        <ext uri="{3e2802c4-a4d2-4d8b-9148-e3be6c30e623}">
          <xlrd:rvb i="934"/>
        </ext>
      </extLst>
    </bk>
    <bk>
      <extLst>
        <ext uri="{3e2802c4-a4d2-4d8b-9148-e3be6c30e623}">
          <xlrd:rvb i="935"/>
        </ext>
      </extLst>
    </bk>
    <bk>
      <extLst>
        <ext uri="{3e2802c4-a4d2-4d8b-9148-e3be6c30e623}">
          <xlrd:rvb i="936"/>
        </ext>
      </extLst>
    </bk>
    <bk>
      <extLst>
        <ext uri="{3e2802c4-a4d2-4d8b-9148-e3be6c30e623}">
          <xlrd:rvb i="937"/>
        </ext>
      </extLst>
    </bk>
    <bk>
      <extLst>
        <ext uri="{3e2802c4-a4d2-4d8b-9148-e3be6c30e623}">
          <xlrd:rvb i="938"/>
        </ext>
      </extLst>
    </bk>
    <bk>
      <extLst>
        <ext uri="{3e2802c4-a4d2-4d8b-9148-e3be6c30e623}">
          <xlrd:rvb i="939"/>
        </ext>
      </extLst>
    </bk>
    <bk>
      <extLst>
        <ext uri="{3e2802c4-a4d2-4d8b-9148-e3be6c30e623}">
          <xlrd:rvb i="940"/>
        </ext>
      </extLst>
    </bk>
    <bk>
      <extLst>
        <ext uri="{3e2802c4-a4d2-4d8b-9148-e3be6c30e623}">
          <xlrd:rvb i="941"/>
        </ext>
      </extLst>
    </bk>
  </futureMetadata>
  <cellMetadata count="1">
    <bk>
      <rc t="1" v="0"/>
    </bk>
  </cellMetadata>
  <valueMetadata count="907">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bk>
      <rc t="2" v="251"/>
    </bk>
    <bk>
      <rc t="2" v="252"/>
    </bk>
    <bk>
      <rc t="2" v="253"/>
    </bk>
    <bk>
      <rc t="2" v="254"/>
    </bk>
    <bk>
      <rc t="2" v="255"/>
    </bk>
    <bk>
      <rc t="2" v="256"/>
    </bk>
    <bk>
      <rc t="2" v="257"/>
    </bk>
    <bk>
      <rc t="2" v="258"/>
    </bk>
    <bk>
      <rc t="2" v="259"/>
    </bk>
    <bk>
      <rc t="2" v="260"/>
    </bk>
    <bk>
      <rc t="2" v="261"/>
    </bk>
    <bk>
      <rc t="2" v="262"/>
    </bk>
    <bk>
      <rc t="2" v="263"/>
    </bk>
    <bk>
      <rc t="2" v="264"/>
    </bk>
    <bk>
      <rc t="2" v="265"/>
    </bk>
    <bk>
      <rc t="2" v="266"/>
    </bk>
    <bk>
      <rc t="2" v="267"/>
    </bk>
    <bk>
      <rc t="2" v="268"/>
    </bk>
    <bk>
      <rc t="2" v="269"/>
    </bk>
    <bk>
      <rc t="2" v="270"/>
    </bk>
    <bk>
      <rc t="2" v="271"/>
    </bk>
    <bk>
      <rc t="2" v="272"/>
    </bk>
    <bk>
      <rc t="2" v="273"/>
    </bk>
    <bk>
      <rc t="2" v="274"/>
    </bk>
    <bk>
      <rc t="2" v="275"/>
    </bk>
    <bk>
      <rc t="2" v="276"/>
    </bk>
    <bk>
      <rc t="2" v="277"/>
    </bk>
    <bk>
      <rc t="2" v="278"/>
    </bk>
    <bk>
      <rc t="2" v="279"/>
    </bk>
    <bk>
      <rc t="2" v="280"/>
    </bk>
    <bk>
      <rc t="2" v="281"/>
    </bk>
    <bk>
      <rc t="2" v="282"/>
    </bk>
    <bk>
      <rc t="2" v="283"/>
    </bk>
    <bk>
      <rc t="2" v="284"/>
    </bk>
    <bk>
      <rc t="2" v="285"/>
    </bk>
    <bk>
      <rc t="2" v="286"/>
    </bk>
    <bk>
      <rc t="2" v="287"/>
    </bk>
    <bk>
      <rc t="2" v="288"/>
    </bk>
    <bk>
      <rc t="2" v="289"/>
    </bk>
    <bk>
      <rc t="2" v="290"/>
    </bk>
    <bk>
      <rc t="2" v="291"/>
    </bk>
    <bk>
      <rc t="2" v="292"/>
    </bk>
    <bk>
      <rc t="2" v="293"/>
    </bk>
    <bk>
      <rc t="2" v="294"/>
    </bk>
    <bk>
      <rc t="2" v="295"/>
    </bk>
    <bk>
      <rc t="2" v="296"/>
    </bk>
    <bk>
      <rc t="2" v="297"/>
    </bk>
    <bk>
      <rc t="2" v="298"/>
    </bk>
    <bk>
      <rc t="2" v="299"/>
    </bk>
    <bk>
      <rc t="2" v="300"/>
    </bk>
    <bk>
      <rc t="2" v="301"/>
    </bk>
    <bk>
      <rc t="2" v="302"/>
    </bk>
    <bk>
      <rc t="2" v="303"/>
    </bk>
    <bk>
      <rc t="2" v="304"/>
    </bk>
    <bk>
      <rc t="2" v="305"/>
    </bk>
    <bk>
      <rc t="2" v="306"/>
    </bk>
    <bk>
      <rc t="2" v="307"/>
    </bk>
    <bk>
      <rc t="2" v="308"/>
    </bk>
    <bk>
      <rc t="2" v="309"/>
    </bk>
    <bk>
      <rc t="2" v="310"/>
    </bk>
    <bk>
      <rc t="2" v="311"/>
    </bk>
    <bk>
      <rc t="2" v="312"/>
    </bk>
    <bk>
      <rc t="2" v="313"/>
    </bk>
    <bk>
      <rc t="2" v="314"/>
    </bk>
    <bk>
      <rc t="2" v="315"/>
    </bk>
    <bk>
      <rc t="2" v="316"/>
    </bk>
    <bk>
      <rc t="2" v="317"/>
    </bk>
    <bk>
      <rc t="2" v="318"/>
    </bk>
    <bk>
      <rc t="2" v="319"/>
    </bk>
    <bk>
      <rc t="2" v="320"/>
    </bk>
    <bk>
      <rc t="2" v="321"/>
    </bk>
    <bk>
      <rc t="2" v="322"/>
    </bk>
    <bk>
      <rc t="2" v="323"/>
    </bk>
    <bk>
      <rc t="2" v="324"/>
    </bk>
    <bk>
      <rc t="2" v="325"/>
    </bk>
    <bk>
      <rc t="2" v="326"/>
    </bk>
    <bk>
      <rc t="2" v="327"/>
    </bk>
    <bk>
      <rc t="2" v="328"/>
    </bk>
    <bk>
      <rc t="2" v="329"/>
    </bk>
    <bk>
      <rc t="2" v="330"/>
    </bk>
    <bk>
      <rc t="2" v="331"/>
    </bk>
    <bk>
      <rc t="2" v="332"/>
    </bk>
    <bk>
      <rc t="2" v="333"/>
    </bk>
    <bk>
      <rc t="2" v="334"/>
    </bk>
    <bk>
      <rc t="2" v="335"/>
    </bk>
    <bk>
      <rc t="2" v="336"/>
    </bk>
    <bk>
      <rc t="2" v="337"/>
    </bk>
    <bk>
      <rc t="2" v="338"/>
    </bk>
    <bk>
      <rc t="2" v="339"/>
    </bk>
    <bk>
      <rc t="2" v="340"/>
    </bk>
    <bk>
      <rc t="2" v="341"/>
    </bk>
    <bk>
      <rc t="2" v="342"/>
    </bk>
    <bk>
      <rc t="2" v="343"/>
    </bk>
    <bk>
      <rc t="2" v="344"/>
    </bk>
    <bk>
      <rc t="2" v="345"/>
    </bk>
    <bk>
      <rc t="2" v="346"/>
    </bk>
    <bk>
      <rc t="2" v="347"/>
    </bk>
    <bk>
      <rc t="2" v="348"/>
    </bk>
    <bk>
      <rc t="2" v="349"/>
    </bk>
    <bk>
      <rc t="2" v="350"/>
    </bk>
    <bk>
      <rc t="2" v="351"/>
    </bk>
    <bk>
      <rc t="2" v="352"/>
    </bk>
    <bk>
      <rc t="2" v="353"/>
    </bk>
    <bk>
      <rc t="2" v="354"/>
    </bk>
    <bk>
      <rc t="2" v="355"/>
    </bk>
    <bk>
      <rc t="2" v="356"/>
    </bk>
    <bk>
      <rc t="2" v="357"/>
    </bk>
    <bk>
      <rc t="2" v="358"/>
    </bk>
    <bk>
      <rc t="2" v="359"/>
    </bk>
    <bk>
      <rc t="2" v="360"/>
    </bk>
    <bk>
      <rc t="2" v="361"/>
    </bk>
    <bk>
      <rc t="2" v="362"/>
    </bk>
    <bk>
      <rc t="2" v="363"/>
    </bk>
    <bk>
      <rc t="2" v="364"/>
    </bk>
    <bk>
      <rc t="2" v="365"/>
    </bk>
    <bk>
      <rc t="2" v="366"/>
    </bk>
    <bk>
      <rc t="2" v="367"/>
    </bk>
    <bk>
      <rc t="2" v="368"/>
    </bk>
    <bk>
      <rc t="2" v="369"/>
    </bk>
    <bk>
      <rc t="2" v="370"/>
    </bk>
    <bk>
      <rc t="2" v="371"/>
    </bk>
    <bk>
      <rc t="2" v="372"/>
    </bk>
    <bk>
      <rc t="2" v="373"/>
    </bk>
    <bk>
      <rc t="2" v="374"/>
    </bk>
    <bk>
      <rc t="2" v="375"/>
    </bk>
    <bk>
      <rc t="2" v="376"/>
    </bk>
    <bk>
      <rc t="2" v="377"/>
    </bk>
    <bk>
      <rc t="2" v="378"/>
    </bk>
    <bk>
      <rc t="2" v="379"/>
    </bk>
    <bk>
      <rc t="2" v="380"/>
    </bk>
    <bk>
      <rc t="2" v="381"/>
    </bk>
    <bk>
      <rc t="2" v="382"/>
    </bk>
    <bk>
      <rc t="2" v="383"/>
    </bk>
    <bk>
      <rc t="2" v="384"/>
    </bk>
    <bk>
      <rc t="2" v="385"/>
    </bk>
    <bk>
      <rc t="2" v="386"/>
    </bk>
    <bk>
      <rc t="2" v="387"/>
    </bk>
    <bk>
      <rc t="2" v="388"/>
    </bk>
    <bk>
      <rc t="2" v="389"/>
    </bk>
    <bk>
      <rc t="2" v="390"/>
    </bk>
    <bk>
      <rc t="2" v="391"/>
    </bk>
    <bk>
      <rc t="2" v="392"/>
    </bk>
    <bk>
      <rc t="2" v="393"/>
    </bk>
    <bk>
      <rc t="2" v="394"/>
    </bk>
    <bk>
      <rc t="2" v="395"/>
    </bk>
    <bk>
      <rc t="2" v="396"/>
    </bk>
    <bk>
      <rc t="2" v="397"/>
    </bk>
    <bk>
      <rc t="2" v="398"/>
    </bk>
    <bk>
      <rc t="2" v="399"/>
    </bk>
    <bk>
      <rc t="2" v="400"/>
    </bk>
    <bk>
      <rc t="2" v="401"/>
    </bk>
    <bk>
      <rc t="2" v="402"/>
    </bk>
    <bk>
      <rc t="2" v="403"/>
    </bk>
    <bk>
      <rc t="2" v="404"/>
    </bk>
    <bk>
      <rc t="2" v="405"/>
    </bk>
    <bk>
      <rc t="2" v="406"/>
    </bk>
    <bk>
      <rc t="2" v="407"/>
    </bk>
    <bk>
      <rc t="2" v="408"/>
    </bk>
    <bk>
      <rc t="2" v="409"/>
    </bk>
    <bk>
      <rc t="2" v="410"/>
    </bk>
    <bk>
      <rc t="2" v="411"/>
    </bk>
    <bk>
      <rc t="2" v="412"/>
    </bk>
    <bk>
      <rc t="2" v="413"/>
    </bk>
    <bk>
      <rc t="2" v="414"/>
    </bk>
    <bk>
      <rc t="2" v="415"/>
    </bk>
    <bk>
      <rc t="2" v="416"/>
    </bk>
    <bk>
      <rc t="2" v="417"/>
    </bk>
    <bk>
      <rc t="2" v="418"/>
    </bk>
    <bk>
      <rc t="2" v="419"/>
    </bk>
    <bk>
      <rc t="2" v="420"/>
    </bk>
    <bk>
      <rc t="2" v="421"/>
    </bk>
    <bk>
      <rc t="2" v="422"/>
    </bk>
    <bk>
      <rc t="2" v="423"/>
    </bk>
    <bk>
      <rc t="2" v="424"/>
    </bk>
    <bk>
      <rc t="2" v="425"/>
    </bk>
    <bk>
      <rc t="2" v="426"/>
    </bk>
    <bk>
      <rc t="2" v="427"/>
    </bk>
    <bk>
      <rc t="2" v="428"/>
    </bk>
    <bk>
      <rc t="2" v="429"/>
    </bk>
    <bk>
      <rc t="2" v="430"/>
    </bk>
    <bk>
      <rc t="2" v="431"/>
    </bk>
    <bk>
      <rc t="2" v="432"/>
    </bk>
    <bk>
      <rc t="2" v="433"/>
    </bk>
    <bk>
      <rc t="2" v="434"/>
    </bk>
    <bk>
      <rc t="2" v="435"/>
    </bk>
    <bk>
      <rc t="2" v="436"/>
    </bk>
    <bk>
      <rc t="2" v="437"/>
    </bk>
    <bk>
      <rc t="2" v="438"/>
    </bk>
    <bk>
      <rc t="2" v="439"/>
    </bk>
    <bk>
      <rc t="2" v="440"/>
    </bk>
    <bk>
      <rc t="2" v="441"/>
    </bk>
    <bk>
      <rc t="2" v="442"/>
    </bk>
    <bk>
      <rc t="2" v="443"/>
    </bk>
    <bk>
      <rc t="2" v="444"/>
    </bk>
    <bk>
      <rc t="2" v="445"/>
    </bk>
    <bk>
      <rc t="2" v="446"/>
    </bk>
    <bk>
      <rc t="2" v="447"/>
    </bk>
    <bk>
      <rc t="2" v="448"/>
    </bk>
    <bk>
      <rc t="2" v="449"/>
    </bk>
    <bk>
      <rc t="2" v="450"/>
    </bk>
    <bk>
      <rc t="2" v="451"/>
    </bk>
    <bk>
      <rc t="2" v="452"/>
    </bk>
    <bk>
      <rc t="2" v="453"/>
    </bk>
    <bk>
      <rc t="2" v="454"/>
    </bk>
    <bk>
      <rc t="2" v="455"/>
    </bk>
    <bk>
      <rc t="2" v="456"/>
    </bk>
    <bk>
      <rc t="2" v="457"/>
    </bk>
    <bk>
      <rc t="2" v="458"/>
    </bk>
    <bk>
      <rc t="2" v="459"/>
    </bk>
    <bk>
      <rc t="2" v="460"/>
    </bk>
    <bk>
      <rc t="2" v="461"/>
    </bk>
    <bk>
      <rc t="2" v="462"/>
    </bk>
    <bk>
      <rc t="2" v="463"/>
    </bk>
    <bk>
      <rc t="2" v="464"/>
    </bk>
    <bk>
      <rc t="2" v="465"/>
    </bk>
    <bk>
      <rc t="2" v="466"/>
    </bk>
    <bk>
      <rc t="2" v="467"/>
    </bk>
    <bk>
      <rc t="2" v="468"/>
    </bk>
    <bk>
      <rc t="2" v="469"/>
    </bk>
    <bk>
      <rc t="2" v="470"/>
    </bk>
    <bk>
      <rc t="2" v="471"/>
    </bk>
    <bk>
      <rc t="2" v="472"/>
    </bk>
    <bk>
      <rc t="2" v="473"/>
    </bk>
    <bk>
      <rc t="2" v="474"/>
    </bk>
    <bk>
      <rc t="2" v="475"/>
    </bk>
    <bk>
      <rc t="2" v="476"/>
    </bk>
    <bk>
      <rc t="2" v="477"/>
    </bk>
    <bk>
      <rc t="2" v="478"/>
    </bk>
    <bk>
      <rc t="2" v="479"/>
    </bk>
    <bk>
      <rc t="2" v="480"/>
    </bk>
    <bk>
      <rc t="2" v="481"/>
    </bk>
    <bk>
      <rc t="2" v="482"/>
    </bk>
    <bk>
      <rc t="2" v="483"/>
    </bk>
    <bk>
      <rc t="2" v="484"/>
    </bk>
    <bk>
      <rc t="2" v="485"/>
    </bk>
    <bk>
      <rc t="2" v="486"/>
    </bk>
    <bk>
      <rc t="2" v="487"/>
    </bk>
    <bk>
      <rc t="2" v="488"/>
    </bk>
    <bk>
      <rc t="2" v="489"/>
    </bk>
    <bk>
      <rc t="2" v="490"/>
    </bk>
    <bk>
      <rc t="2" v="491"/>
    </bk>
    <bk>
      <rc t="2" v="492"/>
    </bk>
    <bk>
      <rc t="2" v="493"/>
    </bk>
    <bk>
      <rc t="2" v="494"/>
    </bk>
    <bk>
      <rc t="2" v="495"/>
    </bk>
    <bk>
      <rc t="2" v="496"/>
    </bk>
    <bk>
      <rc t="2" v="497"/>
    </bk>
    <bk>
      <rc t="2" v="498"/>
    </bk>
    <bk>
      <rc t="2" v="499"/>
    </bk>
    <bk>
      <rc t="2" v="500"/>
    </bk>
    <bk>
      <rc t="2" v="501"/>
    </bk>
    <bk>
      <rc t="2" v="502"/>
    </bk>
    <bk>
      <rc t="2" v="503"/>
    </bk>
    <bk>
      <rc t="2" v="504"/>
    </bk>
    <bk>
      <rc t="2" v="505"/>
    </bk>
    <bk>
      <rc t="2" v="506"/>
    </bk>
    <bk>
      <rc t="2" v="507"/>
    </bk>
    <bk>
      <rc t="2" v="508"/>
    </bk>
    <bk>
      <rc t="2" v="509"/>
    </bk>
    <bk>
      <rc t="2" v="510"/>
    </bk>
    <bk>
      <rc t="2" v="511"/>
    </bk>
    <bk>
      <rc t="2" v="512"/>
    </bk>
    <bk>
      <rc t="2" v="513"/>
    </bk>
    <bk>
      <rc t="2" v="514"/>
    </bk>
    <bk>
      <rc t="2" v="515"/>
    </bk>
    <bk>
      <rc t="2" v="516"/>
    </bk>
    <bk>
      <rc t="2" v="517"/>
    </bk>
    <bk>
      <rc t="2" v="518"/>
    </bk>
    <bk>
      <rc t="2" v="519"/>
    </bk>
    <bk>
      <rc t="2" v="520"/>
    </bk>
    <bk>
      <rc t="2" v="521"/>
    </bk>
    <bk>
      <rc t="2" v="522"/>
    </bk>
    <bk>
      <rc t="2" v="523"/>
    </bk>
    <bk>
      <rc t="2" v="524"/>
    </bk>
    <bk>
      <rc t="2" v="525"/>
    </bk>
    <bk>
      <rc t="2" v="526"/>
    </bk>
    <bk>
      <rc t="2" v="527"/>
    </bk>
    <bk>
      <rc t="2" v="528"/>
    </bk>
    <bk>
      <rc t="2" v="529"/>
    </bk>
    <bk>
      <rc t="2" v="530"/>
    </bk>
    <bk>
      <rc t="2" v="531"/>
    </bk>
    <bk>
      <rc t="2" v="532"/>
    </bk>
    <bk>
      <rc t="2" v="533"/>
    </bk>
    <bk>
      <rc t="2" v="534"/>
    </bk>
    <bk>
      <rc t="2" v="535"/>
    </bk>
    <bk>
      <rc t="2" v="536"/>
    </bk>
    <bk>
      <rc t="2" v="537"/>
    </bk>
    <bk>
      <rc t="2" v="538"/>
    </bk>
    <bk>
      <rc t="2" v="539"/>
    </bk>
    <bk>
      <rc t="2" v="540"/>
    </bk>
    <bk>
      <rc t="2" v="541"/>
    </bk>
    <bk>
      <rc t="2" v="542"/>
    </bk>
    <bk>
      <rc t="2" v="543"/>
    </bk>
    <bk>
      <rc t="2" v="544"/>
    </bk>
    <bk>
      <rc t="2" v="545"/>
    </bk>
    <bk>
      <rc t="2" v="546"/>
    </bk>
    <bk>
      <rc t="2" v="547"/>
    </bk>
    <bk>
      <rc t="2" v="548"/>
    </bk>
    <bk>
      <rc t="2" v="549"/>
    </bk>
    <bk>
      <rc t="2" v="550"/>
    </bk>
    <bk>
      <rc t="2" v="551"/>
    </bk>
    <bk>
      <rc t="2" v="552"/>
    </bk>
    <bk>
      <rc t="2" v="553"/>
    </bk>
    <bk>
      <rc t="2" v="554"/>
    </bk>
    <bk>
      <rc t="2" v="555"/>
    </bk>
    <bk>
      <rc t="2" v="556"/>
    </bk>
    <bk>
      <rc t="2" v="557"/>
    </bk>
    <bk>
      <rc t="2" v="558"/>
    </bk>
    <bk>
      <rc t="2" v="559"/>
    </bk>
    <bk>
      <rc t="2" v="560"/>
    </bk>
    <bk>
      <rc t="2" v="561"/>
    </bk>
    <bk>
      <rc t="2" v="562"/>
    </bk>
    <bk>
      <rc t="2" v="563"/>
    </bk>
    <bk>
      <rc t="2" v="564"/>
    </bk>
    <bk>
      <rc t="2" v="565"/>
    </bk>
    <bk>
      <rc t="2" v="566"/>
    </bk>
    <bk>
      <rc t="2" v="567"/>
    </bk>
    <bk>
      <rc t="2" v="568"/>
    </bk>
    <bk>
      <rc t="2" v="569"/>
    </bk>
    <bk>
      <rc t="2" v="570"/>
    </bk>
    <bk>
      <rc t="2" v="571"/>
    </bk>
    <bk>
      <rc t="2" v="572"/>
    </bk>
    <bk>
      <rc t="2" v="573"/>
    </bk>
    <bk>
      <rc t="2" v="574"/>
    </bk>
    <bk>
      <rc t="2" v="575"/>
    </bk>
    <bk>
      <rc t="2" v="576"/>
    </bk>
    <bk>
      <rc t="2" v="577"/>
    </bk>
    <bk>
      <rc t="2" v="578"/>
    </bk>
    <bk>
      <rc t="2" v="579"/>
    </bk>
    <bk>
      <rc t="2" v="580"/>
    </bk>
    <bk>
      <rc t="2" v="581"/>
    </bk>
    <bk>
      <rc t="2" v="582"/>
    </bk>
    <bk>
      <rc t="2" v="583"/>
    </bk>
    <bk>
      <rc t="2" v="584"/>
    </bk>
    <bk>
      <rc t="2" v="585"/>
    </bk>
    <bk>
      <rc t="2" v="586"/>
    </bk>
    <bk>
      <rc t="2" v="587"/>
    </bk>
    <bk>
      <rc t="2" v="588"/>
    </bk>
    <bk>
      <rc t="2" v="589"/>
    </bk>
    <bk>
      <rc t="2" v="590"/>
    </bk>
    <bk>
      <rc t="2" v="591"/>
    </bk>
    <bk>
      <rc t="2" v="592"/>
    </bk>
    <bk>
      <rc t="2" v="593"/>
    </bk>
    <bk>
      <rc t="2" v="594"/>
    </bk>
    <bk>
      <rc t="2" v="595"/>
    </bk>
    <bk>
      <rc t="2" v="596"/>
    </bk>
    <bk>
      <rc t="2" v="597"/>
    </bk>
    <bk>
      <rc t="2" v="598"/>
    </bk>
    <bk>
      <rc t="2" v="599"/>
    </bk>
    <bk>
      <rc t="2" v="600"/>
    </bk>
    <bk>
      <rc t="2" v="601"/>
    </bk>
    <bk>
      <rc t="2" v="602"/>
    </bk>
    <bk>
      <rc t="2" v="603"/>
    </bk>
    <bk>
      <rc t="2" v="604"/>
    </bk>
    <bk>
      <rc t="2" v="605"/>
    </bk>
    <bk>
      <rc t="2" v="606"/>
    </bk>
    <bk>
      <rc t="2" v="607"/>
    </bk>
    <bk>
      <rc t="2" v="608"/>
    </bk>
    <bk>
      <rc t="2" v="609"/>
    </bk>
    <bk>
      <rc t="2" v="610"/>
    </bk>
    <bk>
      <rc t="2" v="611"/>
    </bk>
    <bk>
      <rc t="2" v="612"/>
    </bk>
    <bk>
      <rc t="2" v="613"/>
    </bk>
    <bk>
      <rc t="2" v="614"/>
    </bk>
    <bk>
      <rc t="2" v="615"/>
    </bk>
    <bk>
      <rc t="2" v="616"/>
    </bk>
    <bk>
      <rc t="2" v="617"/>
    </bk>
    <bk>
      <rc t="2" v="618"/>
    </bk>
    <bk>
      <rc t="2" v="619"/>
    </bk>
    <bk>
      <rc t="2" v="620"/>
    </bk>
    <bk>
      <rc t="2" v="621"/>
    </bk>
    <bk>
      <rc t="2" v="622"/>
    </bk>
    <bk>
      <rc t="2" v="623"/>
    </bk>
    <bk>
      <rc t="2" v="624"/>
    </bk>
    <bk>
      <rc t="2" v="625"/>
    </bk>
    <bk>
      <rc t="2" v="626"/>
    </bk>
    <bk>
      <rc t="2" v="627"/>
    </bk>
    <bk>
      <rc t="2" v="628"/>
    </bk>
    <bk>
      <rc t="2" v="629"/>
    </bk>
    <bk>
      <rc t="2" v="630"/>
    </bk>
    <bk>
      <rc t="2" v="631"/>
    </bk>
    <bk>
      <rc t="2" v="632"/>
    </bk>
    <bk>
      <rc t="2" v="633"/>
    </bk>
    <bk>
      <rc t="2" v="634"/>
    </bk>
    <bk>
      <rc t="2" v="635"/>
    </bk>
    <bk>
      <rc t="2" v="636"/>
    </bk>
    <bk>
      <rc t="2" v="637"/>
    </bk>
    <bk>
      <rc t="2" v="638"/>
    </bk>
    <bk>
      <rc t="2" v="639"/>
    </bk>
    <bk>
      <rc t="2" v="640"/>
    </bk>
    <bk>
      <rc t="2" v="641"/>
    </bk>
    <bk>
      <rc t="2" v="642"/>
    </bk>
    <bk>
      <rc t="2" v="643"/>
    </bk>
    <bk>
      <rc t="2" v="644"/>
    </bk>
    <bk>
      <rc t="2" v="645"/>
    </bk>
    <bk>
      <rc t="2" v="646"/>
    </bk>
    <bk>
      <rc t="2" v="647"/>
    </bk>
    <bk>
      <rc t="2" v="648"/>
    </bk>
    <bk>
      <rc t="2" v="649"/>
    </bk>
    <bk>
      <rc t="2" v="650"/>
    </bk>
    <bk>
      <rc t="2" v="651"/>
    </bk>
    <bk>
      <rc t="2" v="652"/>
    </bk>
    <bk>
      <rc t="2" v="653"/>
    </bk>
    <bk>
      <rc t="2" v="654"/>
    </bk>
    <bk>
      <rc t="2" v="655"/>
    </bk>
    <bk>
      <rc t="2" v="656"/>
    </bk>
    <bk>
      <rc t="2" v="657"/>
    </bk>
    <bk>
      <rc t="2" v="658"/>
    </bk>
    <bk>
      <rc t="2" v="659"/>
    </bk>
    <bk>
      <rc t="2" v="660"/>
    </bk>
    <bk>
      <rc t="2" v="661"/>
    </bk>
    <bk>
      <rc t="2" v="662"/>
    </bk>
    <bk>
      <rc t="2" v="663"/>
    </bk>
    <bk>
      <rc t="2" v="664"/>
    </bk>
    <bk>
      <rc t="2" v="665"/>
    </bk>
    <bk>
      <rc t="2" v="666"/>
    </bk>
    <bk>
      <rc t="2" v="667"/>
    </bk>
    <bk>
      <rc t="2" v="668"/>
    </bk>
    <bk>
      <rc t="2" v="669"/>
    </bk>
    <bk>
      <rc t="2" v="670"/>
    </bk>
    <bk>
      <rc t="2" v="671"/>
    </bk>
    <bk>
      <rc t="2" v="672"/>
    </bk>
    <bk>
      <rc t="2" v="673"/>
    </bk>
    <bk>
      <rc t="2" v="674"/>
    </bk>
    <bk>
      <rc t="2" v="675"/>
    </bk>
    <bk>
      <rc t="2" v="676"/>
    </bk>
    <bk>
      <rc t="2" v="677"/>
    </bk>
    <bk>
      <rc t="2" v="678"/>
    </bk>
    <bk>
      <rc t="2" v="679"/>
    </bk>
    <bk>
      <rc t="2" v="680"/>
    </bk>
    <bk>
      <rc t="2" v="681"/>
    </bk>
    <bk>
      <rc t="2" v="682"/>
    </bk>
    <bk>
      <rc t="2" v="683"/>
    </bk>
    <bk>
      <rc t="2" v="684"/>
    </bk>
    <bk>
      <rc t="2" v="685"/>
    </bk>
    <bk>
      <rc t="2" v="686"/>
    </bk>
    <bk>
      <rc t="2" v="687"/>
    </bk>
    <bk>
      <rc t="2" v="688"/>
    </bk>
    <bk>
      <rc t="2" v="689"/>
    </bk>
    <bk>
      <rc t="2" v="690"/>
    </bk>
    <bk>
      <rc t="2" v="691"/>
    </bk>
    <bk>
      <rc t="2" v="692"/>
    </bk>
    <bk>
      <rc t="2" v="693"/>
    </bk>
    <bk>
      <rc t="2" v="694"/>
    </bk>
    <bk>
      <rc t="2" v="695"/>
    </bk>
    <bk>
      <rc t="2" v="696"/>
    </bk>
    <bk>
      <rc t="2" v="697"/>
    </bk>
    <bk>
      <rc t="2" v="698"/>
    </bk>
    <bk>
      <rc t="2" v="699"/>
    </bk>
    <bk>
      <rc t="2" v="700"/>
    </bk>
    <bk>
      <rc t="2" v="701"/>
    </bk>
    <bk>
      <rc t="2" v="702"/>
    </bk>
    <bk>
      <rc t="2" v="703"/>
    </bk>
    <bk>
      <rc t="2" v="704"/>
    </bk>
    <bk>
      <rc t="2" v="705"/>
    </bk>
    <bk>
      <rc t="2" v="706"/>
    </bk>
    <bk>
      <rc t="2" v="707"/>
    </bk>
    <bk>
      <rc t="2" v="708"/>
    </bk>
    <bk>
      <rc t="2" v="709"/>
    </bk>
    <bk>
      <rc t="2" v="710"/>
    </bk>
    <bk>
      <rc t="2" v="711"/>
    </bk>
    <bk>
      <rc t="2" v="712"/>
    </bk>
    <bk>
      <rc t="2" v="713"/>
    </bk>
    <bk>
      <rc t="2" v="714"/>
    </bk>
    <bk>
      <rc t="2" v="715"/>
    </bk>
    <bk>
      <rc t="2" v="716"/>
    </bk>
    <bk>
      <rc t="2" v="717"/>
    </bk>
    <bk>
      <rc t="2" v="718"/>
    </bk>
    <bk>
      <rc t="2" v="719"/>
    </bk>
    <bk>
      <rc t="2" v="720"/>
    </bk>
    <bk>
      <rc t="2" v="721"/>
    </bk>
    <bk>
      <rc t="2" v="722"/>
    </bk>
    <bk>
      <rc t="2" v="723"/>
    </bk>
    <bk>
      <rc t="2" v="724"/>
    </bk>
    <bk>
      <rc t="2" v="725"/>
    </bk>
    <bk>
      <rc t="2" v="726"/>
    </bk>
    <bk>
      <rc t="2" v="727"/>
    </bk>
    <bk>
      <rc t="2" v="728"/>
    </bk>
    <bk>
      <rc t="2" v="729"/>
    </bk>
    <bk>
      <rc t="2" v="730"/>
    </bk>
    <bk>
      <rc t="2" v="731"/>
    </bk>
    <bk>
      <rc t="2" v="732"/>
    </bk>
    <bk>
      <rc t="2" v="733"/>
    </bk>
    <bk>
      <rc t="2" v="734"/>
    </bk>
    <bk>
      <rc t="2" v="735"/>
    </bk>
    <bk>
      <rc t="2" v="736"/>
    </bk>
    <bk>
      <rc t="2" v="737"/>
    </bk>
    <bk>
      <rc t="2" v="738"/>
    </bk>
    <bk>
      <rc t="2" v="739"/>
    </bk>
    <bk>
      <rc t="2" v="740"/>
    </bk>
    <bk>
      <rc t="2" v="741"/>
    </bk>
    <bk>
      <rc t="2" v="742"/>
    </bk>
    <bk>
      <rc t="2" v="743"/>
    </bk>
    <bk>
      <rc t="2" v="744"/>
    </bk>
    <bk>
      <rc t="2" v="745"/>
    </bk>
    <bk>
      <rc t="2" v="746"/>
    </bk>
    <bk>
      <rc t="2" v="747"/>
    </bk>
    <bk>
      <rc t="2" v="748"/>
    </bk>
    <bk>
      <rc t="2" v="749"/>
    </bk>
    <bk>
      <rc t="2" v="750"/>
    </bk>
    <bk>
      <rc t="2" v="751"/>
    </bk>
    <bk>
      <rc t="2" v="752"/>
    </bk>
    <bk>
      <rc t="2" v="753"/>
    </bk>
    <bk>
      <rc t="2" v="754"/>
    </bk>
    <bk>
      <rc t="2" v="755"/>
    </bk>
    <bk>
      <rc t="2" v="756"/>
    </bk>
    <bk>
      <rc t="2" v="757"/>
    </bk>
    <bk>
      <rc t="2" v="758"/>
    </bk>
    <bk>
      <rc t="2" v="759"/>
    </bk>
    <bk>
      <rc t="2" v="760"/>
    </bk>
    <bk>
      <rc t="2" v="761"/>
    </bk>
    <bk>
      <rc t="2" v="762"/>
    </bk>
    <bk>
      <rc t="2" v="763"/>
    </bk>
    <bk>
      <rc t="2" v="764"/>
    </bk>
    <bk>
      <rc t="2" v="765"/>
    </bk>
    <bk>
      <rc t="2" v="766"/>
    </bk>
    <bk>
      <rc t="2" v="767"/>
    </bk>
    <bk>
      <rc t="2" v="768"/>
    </bk>
    <bk>
      <rc t="2" v="769"/>
    </bk>
    <bk>
      <rc t="2" v="770"/>
    </bk>
    <bk>
      <rc t="2" v="771"/>
    </bk>
    <bk>
      <rc t="2" v="772"/>
    </bk>
    <bk>
      <rc t="2" v="773"/>
    </bk>
    <bk>
      <rc t="2" v="774"/>
    </bk>
    <bk>
      <rc t="2" v="775"/>
    </bk>
    <bk>
      <rc t="2" v="776"/>
    </bk>
    <bk>
      <rc t="2" v="777"/>
    </bk>
    <bk>
      <rc t="2" v="778"/>
    </bk>
    <bk>
      <rc t="2" v="779"/>
    </bk>
    <bk>
      <rc t="2" v="780"/>
    </bk>
    <bk>
      <rc t="2" v="781"/>
    </bk>
    <bk>
      <rc t="2" v="782"/>
    </bk>
    <bk>
      <rc t="2" v="783"/>
    </bk>
    <bk>
      <rc t="2" v="784"/>
    </bk>
    <bk>
      <rc t="2" v="785"/>
    </bk>
    <bk>
      <rc t="2" v="786"/>
    </bk>
    <bk>
      <rc t="2" v="787"/>
    </bk>
    <bk>
      <rc t="2" v="788"/>
    </bk>
    <bk>
      <rc t="2" v="789"/>
    </bk>
    <bk>
      <rc t="2" v="790"/>
    </bk>
    <bk>
      <rc t="2" v="791"/>
    </bk>
    <bk>
      <rc t="2" v="792"/>
    </bk>
    <bk>
      <rc t="2" v="793"/>
    </bk>
    <bk>
      <rc t="2" v="794"/>
    </bk>
    <bk>
      <rc t="2" v="795"/>
    </bk>
    <bk>
      <rc t="2" v="796"/>
    </bk>
    <bk>
      <rc t="2" v="797"/>
    </bk>
    <bk>
      <rc t="2" v="798"/>
    </bk>
    <bk>
      <rc t="2" v="799"/>
    </bk>
    <bk>
      <rc t="2" v="800"/>
    </bk>
    <bk>
      <rc t="2" v="801"/>
    </bk>
    <bk>
      <rc t="2" v="802"/>
    </bk>
    <bk>
      <rc t="2" v="803"/>
    </bk>
    <bk>
      <rc t="2" v="804"/>
    </bk>
    <bk>
      <rc t="2" v="805"/>
    </bk>
    <bk>
      <rc t="2" v="806"/>
    </bk>
    <bk>
      <rc t="2" v="807"/>
    </bk>
    <bk>
      <rc t="2" v="808"/>
    </bk>
    <bk>
      <rc t="2" v="809"/>
    </bk>
    <bk>
      <rc t="2" v="810"/>
    </bk>
    <bk>
      <rc t="2" v="811"/>
    </bk>
    <bk>
      <rc t="2" v="812"/>
    </bk>
    <bk>
      <rc t="2" v="813"/>
    </bk>
    <bk>
      <rc t="2" v="814"/>
    </bk>
    <bk>
      <rc t="2" v="815"/>
    </bk>
    <bk>
      <rc t="2" v="816"/>
    </bk>
    <bk>
      <rc t="2" v="817"/>
    </bk>
    <bk>
      <rc t="2" v="818"/>
    </bk>
    <bk>
      <rc t="2" v="819"/>
    </bk>
    <bk>
      <rc t="2" v="820"/>
    </bk>
    <bk>
      <rc t="2" v="821"/>
    </bk>
    <bk>
      <rc t="2" v="822"/>
    </bk>
    <bk>
      <rc t="2" v="823"/>
    </bk>
    <bk>
      <rc t="2" v="824"/>
    </bk>
    <bk>
      <rc t="2" v="825"/>
    </bk>
    <bk>
      <rc t="2" v="826"/>
    </bk>
    <bk>
      <rc t="2" v="827"/>
    </bk>
    <bk>
      <rc t="2" v="828"/>
    </bk>
    <bk>
      <rc t="2" v="829"/>
    </bk>
    <bk>
      <rc t="2" v="830"/>
    </bk>
    <bk>
      <rc t="2" v="831"/>
    </bk>
    <bk>
      <rc t="2" v="832"/>
    </bk>
    <bk>
      <rc t="2" v="833"/>
    </bk>
    <bk>
      <rc t="2" v="834"/>
    </bk>
    <bk>
      <rc t="2" v="835"/>
    </bk>
    <bk>
      <rc t="2" v="836"/>
    </bk>
    <bk>
      <rc t="2" v="837"/>
    </bk>
    <bk>
      <rc t="2" v="838"/>
    </bk>
    <bk>
      <rc t="2" v="839"/>
    </bk>
    <bk>
      <rc t="2" v="840"/>
    </bk>
    <bk>
      <rc t="2" v="841"/>
    </bk>
    <bk>
      <rc t="2" v="842"/>
    </bk>
    <bk>
      <rc t="2" v="843"/>
    </bk>
    <bk>
      <rc t="2" v="844"/>
    </bk>
    <bk>
      <rc t="2" v="845"/>
    </bk>
    <bk>
      <rc t="2" v="846"/>
    </bk>
    <bk>
      <rc t="2" v="847"/>
    </bk>
    <bk>
      <rc t="2" v="848"/>
    </bk>
    <bk>
      <rc t="2" v="849"/>
    </bk>
    <bk>
      <rc t="2" v="850"/>
    </bk>
    <bk>
      <rc t="2" v="851"/>
    </bk>
    <bk>
      <rc t="2" v="852"/>
    </bk>
    <bk>
      <rc t="2" v="853"/>
    </bk>
    <bk>
      <rc t="2" v="854"/>
    </bk>
    <bk>
      <rc t="2" v="855"/>
    </bk>
    <bk>
      <rc t="2" v="856"/>
    </bk>
    <bk>
      <rc t="2" v="857"/>
    </bk>
    <bk>
      <rc t="2" v="858"/>
    </bk>
    <bk>
      <rc t="2" v="859"/>
    </bk>
    <bk>
      <rc t="2" v="860"/>
    </bk>
    <bk>
      <rc t="2" v="861"/>
    </bk>
    <bk>
      <rc t="2" v="862"/>
    </bk>
    <bk>
      <rc t="2" v="863"/>
    </bk>
    <bk>
      <rc t="2" v="864"/>
    </bk>
    <bk>
      <rc t="2" v="865"/>
    </bk>
    <bk>
      <rc t="2" v="866"/>
    </bk>
    <bk>
      <rc t="2" v="867"/>
    </bk>
    <bk>
      <rc t="2" v="868"/>
    </bk>
    <bk>
      <rc t="2" v="869"/>
    </bk>
    <bk>
      <rc t="2" v="870"/>
    </bk>
    <bk>
      <rc t="2" v="871"/>
    </bk>
    <bk>
      <rc t="2" v="872"/>
    </bk>
    <bk>
      <rc t="2" v="873"/>
    </bk>
    <bk>
      <rc t="2" v="874"/>
    </bk>
    <bk>
      <rc t="2" v="875"/>
    </bk>
    <bk>
      <rc t="2" v="876"/>
    </bk>
    <bk>
      <rc t="2" v="877"/>
    </bk>
    <bk>
      <rc t="2" v="878"/>
    </bk>
    <bk>
      <rc t="2" v="879"/>
    </bk>
    <bk>
      <rc t="2" v="880"/>
    </bk>
    <bk>
      <rc t="2" v="881"/>
    </bk>
    <bk>
      <rc t="2" v="882"/>
    </bk>
    <bk>
      <rc t="2" v="883"/>
    </bk>
    <bk>
      <rc t="2" v="884"/>
    </bk>
    <bk>
      <rc t="2" v="885"/>
    </bk>
    <bk>
      <rc t="2" v="886"/>
    </bk>
    <bk>
      <rc t="2" v="887"/>
    </bk>
    <bk>
      <rc t="2" v="888"/>
    </bk>
    <bk>
      <rc t="2" v="889"/>
    </bk>
    <bk>
      <rc t="2" v="890"/>
    </bk>
    <bk>
      <rc t="2" v="891"/>
    </bk>
    <bk>
      <rc t="2" v="892"/>
    </bk>
    <bk>
      <rc t="2" v="893"/>
    </bk>
    <bk>
      <rc t="2" v="894"/>
    </bk>
    <bk>
      <rc t="2" v="895"/>
    </bk>
    <bk>
      <rc t="2" v="896"/>
    </bk>
    <bk>
      <rc t="2" v="897"/>
    </bk>
    <bk>
      <rc t="2" v="898"/>
    </bk>
    <bk>
      <rc t="2" v="899"/>
    </bk>
    <bk>
      <rc t="2" v="900"/>
    </bk>
    <bk>
      <rc t="2" v="901"/>
    </bk>
    <bk>
      <rc t="2" v="902"/>
    </bk>
    <bk>
      <rc t="2" v="903"/>
    </bk>
    <bk>
      <rc t="2" v="904"/>
    </bk>
    <bk>
      <rc t="2" v="905"/>
    </bk>
    <bk>
      <rc t="2" v="906"/>
    </bk>
  </valueMetadata>
</metadata>
</file>

<file path=xl/sharedStrings.xml><?xml version="1.0" encoding="utf-8"?>
<sst xmlns="http://schemas.openxmlformats.org/spreadsheetml/2006/main" count="680" uniqueCount="271">
  <si>
    <t>ESTIMATING COST OF CAPITAL</t>
  </si>
  <si>
    <t>Assumption</t>
  </si>
  <si>
    <t>Capital Structure Assumption Choices</t>
  </si>
  <si>
    <t>Tax Rate</t>
  </si>
  <si>
    <t>Stable, Investment Grade Debt</t>
  </si>
  <si>
    <t>Cash Required (as a % of Revenue)</t>
  </si>
  <si>
    <t>Stable DE Ratio</t>
  </si>
  <si>
    <t>Risk Free Rate (US 10 YT for SML)</t>
  </si>
  <si>
    <t>*do for each comp and the target</t>
  </si>
  <si>
    <t>Assumed Debt Beta Mapping</t>
  </si>
  <si>
    <t>IG</t>
  </si>
  <si>
    <t>NONIG</t>
  </si>
  <si>
    <t>UNK</t>
  </si>
  <si>
    <t>CREDIT RATING TRANSLATION</t>
  </si>
  <si>
    <t>S&amp;P Rating</t>
  </si>
  <si>
    <t>IG or NONIG or UNK</t>
  </si>
  <si>
    <t>Debt Beta</t>
  </si>
  <si>
    <t>AAA</t>
  </si>
  <si>
    <t>AA+</t>
  </si>
  <si>
    <t>AA</t>
  </si>
  <si>
    <t>AA-</t>
  </si>
  <si>
    <t>A+</t>
  </si>
  <si>
    <t>A</t>
  </si>
  <si>
    <t>A-</t>
  </si>
  <si>
    <t>BBB+</t>
  </si>
  <si>
    <t>BBB</t>
  </si>
  <si>
    <t>BBB-</t>
  </si>
  <si>
    <t>BB+</t>
  </si>
  <si>
    <t>BB</t>
  </si>
  <si>
    <t>BB-</t>
  </si>
  <si>
    <t>B+</t>
  </si>
  <si>
    <t>B</t>
  </si>
  <si>
    <t>B-</t>
  </si>
  <si>
    <t>CCC+</t>
  </si>
  <si>
    <t>CCC</t>
  </si>
  <si>
    <t>CCC-</t>
  </si>
  <si>
    <t>CC</t>
  </si>
  <si>
    <t>C</t>
  </si>
  <si>
    <t>D</t>
  </si>
  <si>
    <t>Standard Error Scalar</t>
  </si>
  <si>
    <t>Industry Name</t>
  </si>
  <si>
    <t>Number of firms</t>
  </si>
  <si>
    <t>Price/Sales</t>
  </si>
  <si>
    <t>Net Margin</t>
  </si>
  <si>
    <t>EV/Sales</t>
  </si>
  <si>
    <t>Pre-tax Operating Margin</t>
  </si>
  <si>
    <t>Advertising</t>
  </si>
  <si>
    <t>Aerospace/Defense</t>
  </si>
  <si>
    <t>Air Transport</t>
  </si>
  <si>
    <t>Apparel</t>
  </si>
  <si>
    <t>Auto &amp; Truck</t>
  </si>
  <si>
    <t>Auto Parts</t>
  </si>
  <si>
    <t>Bank (Money Center)</t>
  </si>
  <si>
    <t>Banks (Regional)</t>
  </si>
  <si>
    <t>Beverage (Alcoholic)</t>
  </si>
  <si>
    <t>Beverage (Soft)</t>
  </si>
  <si>
    <t>Broadcasting</t>
  </si>
  <si>
    <t>Brokerage &amp; Investment Banking</t>
  </si>
  <si>
    <t>Building Materials</t>
  </si>
  <si>
    <t>Business &amp; Consumer Services</t>
  </si>
  <si>
    <t>Cable TV</t>
  </si>
  <si>
    <t>Chemical (Basic)</t>
  </si>
  <si>
    <t>Chemical (Diversified)</t>
  </si>
  <si>
    <t>Chemical (Specialty)</t>
  </si>
  <si>
    <t>Coal &amp; Related Energy</t>
  </si>
  <si>
    <t>Computer Services</t>
  </si>
  <si>
    <t>Computers/Peripherals</t>
  </si>
  <si>
    <t>Construction Supplies</t>
  </si>
  <si>
    <t>Diversified</t>
  </si>
  <si>
    <t>Drugs (Biotechnology)</t>
  </si>
  <si>
    <t>Drugs (Pharmaceutical)</t>
  </si>
  <si>
    <t>Education</t>
  </si>
  <si>
    <t>Electrical Equipment</t>
  </si>
  <si>
    <t>Electronics (Consumer &amp; Office)</t>
  </si>
  <si>
    <t>Electronics (General)</t>
  </si>
  <si>
    <t>Engineering/Construction</t>
  </si>
  <si>
    <t>Entertainment</t>
  </si>
  <si>
    <t>Environmental &amp; Waste Services</t>
  </si>
  <si>
    <t>Farming/Agriculture</t>
  </si>
  <si>
    <t>Financial Svcs. (Non-bank &amp; Insurance)</t>
  </si>
  <si>
    <t>Food Processing</t>
  </si>
  <si>
    <t>Food Wholesalers</t>
  </si>
  <si>
    <t>Furn/Home Furnishings</t>
  </si>
  <si>
    <t>Green &amp; Renewable Energy</t>
  </si>
  <si>
    <t>Healthcare Products</t>
  </si>
  <si>
    <t>Healthcare Support Services</t>
  </si>
  <si>
    <t>Heathcare Information and Technology</t>
  </si>
  <si>
    <t>Homebuilding</t>
  </si>
  <si>
    <t>Hospitals/Healthcare Facilities</t>
  </si>
  <si>
    <t>Hotel/Gaming</t>
  </si>
  <si>
    <t>Household Products</t>
  </si>
  <si>
    <t>Information Services</t>
  </si>
  <si>
    <t>Insurance (General)</t>
  </si>
  <si>
    <t>Insurance (Life)</t>
  </si>
  <si>
    <t>Insurance (Prop/Cas.)</t>
  </si>
  <si>
    <t>Investments &amp; Asset Management</t>
  </si>
  <si>
    <t>Machinery</t>
  </si>
  <si>
    <t>Metals &amp; Mining</t>
  </si>
  <si>
    <t>Office Equipment &amp; Services</t>
  </si>
  <si>
    <t>Oil/Gas (Integrated)</t>
  </si>
  <si>
    <t>Oil/Gas (Production and Exploration)</t>
  </si>
  <si>
    <t>Oil/Gas Distribution</t>
  </si>
  <si>
    <t>Oilfield Svcs/Equip.</t>
  </si>
  <si>
    <t>Packaging &amp; Container</t>
  </si>
  <si>
    <t>Paper/Forest Products</t>
  </si>
  <si>
    <t>Power</t>
  </si>
  <si>
    <t>Precious Metals</t>
  </si>
  <si>
    <t>Publishing &amp; Newspapers</t>
  </si>
  <si>
    <t>R.E.I.T.</t>
  </si>
  <si>
    <t>Real Estate (Development)</t>
  </si>
  <si>
    <t>Real Estate (General/Diversified)</t>
  </si>
  <si>
    <t>Real Estate (Operations &amp; Services)</t>
  </si>
  <si>
    <t>Recreation</t>
  </si>
  <si>
    <t>Reinsurance</t>
  </si>
  <si>
    <t>Restaurant/Dining</t>
  </si>
  <si>
    <t>Retail (Automotive)</t>
  </si>
  <si>
    <t>Retail (Building Supply)</t>
  </si>
  <si>
    <t>Retail (Distributors)</t>
  </si>
  <si>
    <t>Retail (General)</t>
  </si>
  <si>
    <t>Retail (Grocery and Food)</t>
  </si>
  <si>
    <t>Retail (REITs)</t>
  </si>
  <si>
    <t>Retail (Special Lines)</t>
  </si>
  <si>
    <t>Rubber&amp; Tires</t>
  </si>
  <si>
    <t>Semiconductor</t>
  </si>
  <si>
    <t>Semiconductor Equip</t>
  </si>
  <si>
    <t>Shipbuilding &amp; Marine</t>
  </si>
  <si>
    <t>Shoe</t>
  </si>
  <si>
    <t>Software (Entertainment)</t>
  </si>
  <si>
    <t>Software (Internet)</t>
  </si>
  <si>
    <t>Software (System &amp; Application)</t>
  </si>
  <si>
    <t>Steel</t>
  </si>
  <si>
    <t>Telecom (Wireless)</t>
  </si>
  <si>
    <t>Telecom. Equipment</t>
  </si>
  <si>
    <t>Telecom. Services</t>
  </si>
  <si>
    <t>Tobacco</t>
  </si>
  <si>
    <t>Transportation</t>
  </si>
  <si>
    <t>Transportation (Railroads)</t>
  </si>
  <si>
    <t>Trucking</t>
  </si>
  <si>
    <t>Utility (General)</t>
  </si>
  <si>
    <t>Utility (Water)</t>
  </si>
  <si>
    <t>Total Market</t>
  </si>
  <si>
    <t>Total Market (without financials)</t>
  </si>
  <si>
    <t>Source: https://pages.stern.nyu.edu/~adamodar/New_Home_Page/datafile/psdata.html</t>
  </si>
  <si>
    <t>NA</t>
  </si>
  <si>
    <t>Tiotal Market</t>
  </si>
  <si>
    <t>source: https://view.officeapps.live.com/op/view.aspx?src=https%3A%2F%2Fpages.stern.nyu.edu%2F~adamodar%2Fpc%2Farchives%2FpsGlobal24.xls&amp;wdOrigin=BROWSELINK</t>
  </si>
  <si>
    <t>for 1/25/2026</t>
  </si>
  <si>
    <t>SML Equation</t>
  </si>
  <si>
    <t>ki = E(ri) + beta(E(MRP))</t>
  </si>
  <si>
    <t>MRP = E(rm - rf)</t>
  </si>
  <si>
    <t>What to find Beta which is stage 1, stage 2 is to get that data into CAPM</t>
  </si>
  <si>
    <t>Estimating the MRP (Market Risk Premium, using Historical Data)</t>
  </si>
  <si>
    <t xml:space="preserve"> Annual Factors: January-December </t>
  </si>
  <si>
    <t>Mkt-RF</t>
  </si>
  <si>
    <t>RF</t>
  </si>
  <si>
    <t>E(MRP) = E(Mkr-rf)</t>
  </si>
  <si>
    <t>Standard Error MRP</t>
  </si>
  <si>
    <t>Estimating the MRP using Given Scenario Analysis</t>
  </si>
  <si>
    <t>Assumed Scenario Analysis</t>
  </si>
  <si>
    <t>Market Scenario</t>
  </si>
  <si>
    <t xml:space="preserve"> Probability of Scenario</t>
  </si>
  <si>
    <t xml:space="preserve"> MRP in Scenario</t>
  </si>
  <si>
    <t>Expected MRP</t>
  </si>
  <si>
    <t>p(s) * (rs - Er)^2</t>
  </si>
  <si>
    <t>Aggressive</t>
  </si>
  <si>
    <t>Moderate</t>
  </si>
  <si>
    <t>Conservative</t>
  </si>
  <si>
    <t>&lt;- Variance</t>
  </si>
  <si>
    <t>&lt;- SD</t>
  </si>
  <si>
    <t>Standard Deviation</t>
  </si>
  <si>
    <t>Use CAPM for our 3 Betas</t>
  </si>
  <si>
    <t>FIN 374</t>
  </si>
  <si>
    <t>CORPORATE VALUATIONS</t>
  </si>
  <si>
    <t>Company Comparable Analysis Data with Amazon (AMZN) as Target</t>
  </si>
  <si>
    <t>data from FactSet</t>
  </si>
  <si>
    <t>Identifier</t>
  </si>
  <si>
    <t>Name</t>
  </si>
  <si>
    <t>Fiscal Period</t>
  </si>
  <si>
    <t>Market Cap (MM) (USD)</t>
  </si>
  <si>
    <t>Total Debt (MM) (USD)</t>
  </si>
  <si>
    <t>Cash &amp; Short Term Investments (MM) (USD)</t>
  </si>
  <si>
    <t>Revenue (MM) (USD)</t>
  </si>
  <si>
    <t>D/E Ratio</t>
  </si>
  <si>
    <t>Credit Rating</t>
  </si>
  <si>
    <t>Assumed Debt Beta</t>
  </si>
  <si>
    <t>9988-HK</t>
  </si>
  <si>
    <t>Alibaba Group Holding Ltd.</t>
  </si>
  <si>
    <t>MELI-US</t>
  </si>
  <si>
    <t>MercadoLibre, Inc.</t>
  </si>
  <si>
    <t>WMT-US</t>
  </si>
  <si>
    <t>Walmart, Inc.</t>
  </si>
  <si>
    <t>COST-US</t>
  </si>
  <si>
    <t>Costco Wholesale Corp.</t>
  </si>
  <si>
    <t>MSFT-US</t>
  </si>
  <si>
    <t>Microsoft Corp.</t>
  </si>
  <si>
    <t>ORCL-US</t>
  </si>
  <si>
    <t>Oracle Corp.</t>
  </si>
  <si>
    <t>Average</t>
  </si>
  <si>
    <t>Median</t>
  </si>
  <si>
    <t>Target Company (AMZN)</t>
  </si>
  <si>
    <t>AMZN-US</t>
  </si>
  <si>
    <t>Amazon.com, Inc.</t>
  </si>
  <si>
    <t>Comperable Companies for Firm Wide Analysis</t>
  </si>
  <si>
    <t>Unlevered Values</t>
  </si>
  <si>
    <t>Company Name</t>
  </si>
  <si>
    <t>Unlevered Beta</t>
  </si>
  <si>
    <t>SE of Beta</t>
  </si>
  <si>
    <t>Equity Beta</t>
  </si>
  <si>
    <t>Required Cash</t>
  </si>
  <si>
    <t>Excess Cash</t>
  </si>
  <si>
    <t>Market Value Equity</t>
  </si>
  <si>
    <t>Cash Adjustment Factor</t>
  </si>
  <si>
    <t>Cash Adjusted Beta</t>
  </si>
  <si>
    <t>Adj. Beta Low</t>
  </si>
  <si>
    <t>Adj. Beta High</t>
  </si>
  <si>
    <t>Average Comp. Asset Beta</t>
  </si>
  <si>
    <t>Relevered AMZN Beta</t>
  </si>
  <si>
    <t>Uncertainty Range</t>
  </si>
  <si>
    <t>Comp Implied AMZN Beta</t>
  </si>
  <si>
    <t>Standard Error</t>
  </si>
  <si>
    <t>AMZN Beta High</t>
  </si>
  <si>
    <t>AMZN Beta Low</t>
  </si>
  <si>
    <t>Unlevered Comperable Companies for Sector Analysis</t>
  </si>
  <si>
    <t>International Retail Segment</t>
  </si>
  <si>
    <t>Mean</t>
  </si>
  <si>
    <t>North America Retail Segment</t>
  </si>
  <si>
    <t>AWS Segment</t>
  </si>
  <si>
    <t>Net Sales:</t>
  </si>
  <si>
    <t>Value</t>
  </si>
  <si>
    <t>Percent of Net</t>
  </si>
  <si>
    <t>Weighted AVG Beta</t>
  </si>
  <si>
    <t>Segment Standard Error</t>
  </si>
  <si>
    <t>North America</t>
  </si>
  <si>
    <t>International</t>
  </si>
  <si>
    <t>AWS</t>
  </si>
  <si>
    <t>Consolidated</t>
  </si>
  <si>
    <t>Weighted Unlevered Beta</t>
  </si>
  <si>
    <t>Combined Standard Error</t>
  </si>
  <si>
    <t>Beta</t>
  </si>
  <si>
    <t>SE Beta</t>
  </si>
  <si>
    <t>Price TEGNA</t>
  </si>
  <si>
    <t>Price S&amp;P 500</t>
  </si>
  <si>
    <t>Price US10Y</t>
  </si>
  <si>
    <t>ri</t>
  </si>
  <si>
    <t>rm</t>
  </si>
  <si>
    <t>rf</t>
  </si>
  <si>
    <t>ri-rf</t>
  </si>
  <si>
    <t>rm-rf</t>
  </si>
  <si>
    <t>Segment Weights (As a Proportion of Net Sales From 10K)</t>
  </si>
  <si>
    <t>Part A: Historical Market Risk Premium</t>
  </si>
  <si>
    <t>Market Risk Premium</t>
  </si>
  <si>
    <t>Estimate Low</t>
  </si>
  <si>
    <t>Estimate High</t>
  </si>
  <si>
    <t>Part B: Scenario Based MRP</t>
  </si>
  <si>
    <t>Expected Market Risk Premium</t>
  </si>
  <si>
    <t>Esimtate High</t>
  </si>
  <si>
    <t>Historical MRP and Historical Beta</t>
  </si>
  <si>
    <t>Historical MRP and Pure Play Comperables Analysis</t>
  </si>
  <si>
    <t>Historical MRP and Sector Weighted Comperables Analysis</t>
  </si>
  <si>
    <t>Scenario Based MRP Pure Play Comperables Analysis</t>
  </si>
  <si>
    <t>Scenario Based MRP and Historical Beta</t>
  </si>
  <si>
    <t>Scenario Based MRP Sector Weighted Comperables Analysis</t>
  </si>
  <si>
    <t>Risk Free Rate</t>
  </si>
  <si>
    <t>Cost of Equity</t>
  </si>
  <si>
    <t>Cost of Equity Low</t>
  </si>
  <si>
    <t>Cost of Equity High</t>
  </si>
  <si>
    <t>Historical Equity Beta (AMZN)</t>
  </si>
  <si>
    <t>Standard Error of Beta</t>
  </si>
  <si>
    <t>Low Beta Estimate</t>
  </si>
  <si>
    <t>High Beta Estimate</t>
  </si>
  <si>
    <t>Dat Vuong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</si>
</sst>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_([$$-409]* #,##0.00_);_([$$-409]* \(#,##0.00\);_([$$-409]* &quot;-&quot;??_);_(@_)"/>
    <numFmt numFmtId="166" formatCode="0.000000"/>
  </numFmts>
  <fonts count="14" x14ac:knownFonts="1">
    <font>
      <sz val="11"/>
      <color theme="1"/>
      <name val="Aptos Narrow"/>
      <family val="2"/>
      <scheme val="minor"/>
    </font>
    <font>
      <b/>
      <sz val="11"/>
      <color theme="1"/>
      <name val="Aptos Narrow"/>
      <family val="2"/>
      <scheme val="minor"/>
    </font>
    <font>
      <sz val="12"/>
      <color rgb="FF000000"/>
      <name val="Calibri"/>
      <family val="2"/>
    </font>
    <font>
      <b/>
      <i/>
      <sz val="10"/>
      <color rgb="FFFFFFFF"/>
      <name val="Verdana"/>
      <family val="2"/>
    </font>
    <font>
      <sz val="8"/>
      <color rgb="FF000000"/>
      <name val="Times New Roman"/>
      <family val="1"/>
    </font>
    <font>
      <b/>
      <i/>
      <sz val="10"/>
      <name val="Verdana"/>
      <family val="2"/>
    </font>
    <font>
      <sz val="8"/>
      <color theme="1"/>
      <name val="Aptos Narrow"/>
      <family val="2"/>
      <scheme val="minor"/>
    </font>
    <font>
      <sz val="10"/>
      <color theme="1"/>
      <name val="Arial"/>
      <family val="2"/>
    </font>
    <font>
      <b/>
      <sz val="10"/>
      <color theme="1"/>
      <name val="Arial"/>
      <family val="2"/>
    </font>
    <font>
      <b/>
      <sz val="11"/>
      <color theme="0"/>
      <name val="Aptos Narrow"/>
      <family val="2"/>
      <scheme val="minor"/>
    </font>
    <font>
      <i/>
      <sz val="9"/>
      <color theme="1"/>
      <name val="Aptos Narrow"/>
      <family val="2"/>
      <scheme val="minor"/>
    </font>
    <font>
      <b/>
      <sz val="11"/>
      <color theme="1"/>
      <name val="Aptos Narrow"/>
      <scheme val="minor"/>
    </font>
    <font>
      <b/>
      <sz val="11"/>
      <color rgb="FF242424"/>
      <name val="Aptos Narrow"/>
    </font>
    <font>
      <sz val="8"/>
      <name val="Aptos Narrow"/>
      <family val="2"/>
      <scheme val="minor"/>
    </font>
  </fonts>
  <fills count="9">
    <fill>
      <patternFill patternType="none"/>
    </fill>
    <fill>
      <patternFill patternType="gray125"/>
    </fill>
    <fill>
      <patternFill patternType="solid">
        <fgColor rgb="FFD9D9D9"/>
        <bgColor indexed="64"/>
      </patternFill>
    </fill>
    <fill>
      <patternFill patternType="solid">
        <fgColor rgb="FF000000"/>
        <bgColor indexed="64"/>
      </patternFill>
    </fill>
    <fill>
      <patternFill patternType="solid">
        <fgColor rgb="FFD9D9D9"/>
        <bgColor rgb="FFD9D9D9"/>
      </patternFill>
    </fill>
    <fill>
      <patternFill patternType="solid">
        <fgColor rgb="FFC8C8C8"/>
        <bgColor indexed="64"/>
      </patternFill>
    </fill>
    <fill>
      <patternFill patternType="solid">
        <fgColor rgb="FFF0F0F0"/>
        <bgColor indexed="64"/>
      </patternFill>
    </fill>
    <fill>
      <patternFill patternType="solid">
        <fgColor theme="2"/>
        <bgColor indexed="64"/>
      </patternFill>
    </fill>
    <fill>
      <patternFill patternType="solid">
        <fgColor theme="3"/>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diagonal/>
    </border>
    <border>
      <left/>
      <right/>
      <top/>
      <bottom style="medium">
        <color rgb="FF000000"/>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3">
    <xf numFmtId="0" fontId="0" fillId="0" borderId="0"/>
    <xf numFmtId="0" fontId="7" fillId="0" borderId="0"/>
    <xf numFmtId="9" fontId="7" fillId="0" borderId="0" applyFont="0" applyFill="0" applyBorder="0" applyAlignment="0" applyProtection="0"/>
  </cellStyleXfs>
  <cellXfs count="111">
    <xf numFmtId="0" fontId="0" fillId="0" borderId="0" xfId="0"/>
    <xf numFmtId="9" fontId="0" fillId="0" borderId="0" xfId="0" applyNumberFormat="1"/>
    <xf numFmtId="2" fontId="0" fillId="0" borderId="0" xfId="0" applyNumberFormat="1"/>
    <xf numFmtId="10" fontId="0" fillId="0" borderId="0" xfId="0" applyNumberFormat="1"/>
    <xf numFmtId="0" fontId="2" fillId="2" borderId="1" xfId="0" applyFont="1" applyFill="1" applyBorder="1"/>
    <xf numFmtId="0" fontId="2" fillId="2" borderId="1" xfId="0" applyFont="1" applyFill="1" applyBorder="1" applyAlignment="1">
      <alignment horizontal="center"/>
    </xf>
    <xf numFmtId="10" fontId="2" fillId="2" borderId="1" xfId="0" applyNumberFormat="1" applyFont="1" applyFill="1" applyBorder="1" applyAlignment="1">
      <alignment horizontal="center"/>
    </xf>
    <xf numFmtId="0" fontId="0" fillId="0" borderId="1" xfId="0" applyBorder="1"/>
    <xf numFmtId="0" fontId="2" fillId="0" borderId="1" xfId="0" applyFont="1" applyBorder="1"/>
    <xf numFmtId="0" fontId="2" fillId="0" borderId="1" xfId="0" applyFont="1" applyBorder="1" applyAlignment="1">
      <alignment horizontal="center"/>
    </xf>
    <xf numFmtId="10" fontId="2" fillId="0" borderId="1" xfId="0" applyNumberFormat="1" applyFont="1" applyBorder="1" applyAlignment="1">
      <alignment horizontal="center"/>
    </xf>
    <xf numFmtId="0" fontId="3" fillId="3" borderId="1" xfId="0" applyFont="1" applyFill="1" applyBorder="1"/>
    <xf numFmtId="0" fontId="3" fillId="3" borderId="1" xfId="0" applyFont="1" applyFill="1" applyBorder="1" applyAlignment="1">
      <alignment horizontal="center"/>
    </xf>
    <xf numFmtId="0" fontId="4" fillId="0" borderId="0" xfId="0" applyFont="1" applyAlignment="1">
      <alignment vertical="center"/>
    </xf>
    <xf numFmtId="0" fontId="0" fillId="0" borderId="2" xfId="0" applyBorder="1"/>
    <xf numFmtId="0" fontId="5" fillId="0" borderId="2" xfId="0" applyFont="1" applyBorder="1"/>
    <xf numFmtId="0" fontId="5" fillId="0" borderId="3" xfId="0" applyFont="1" applyBorder="1" applyAlignment="1">
      <alignment horizontal="center"/>
    </xf>
    <xf numFmtId="0" fontId="5" fillId="0" borderId="4" xfId="0" applyFont="1" applyBorder="1" applyAlignment="1">
      <alignment horizontal="center"/>
    </xf>
    <xf numFmtId="0" fontId="2" fillId="4" borderId="5" xfId="0" applyFont="1" applyFill="1" applyBorder="1"/>
    <xf numFmtId="0" fontId="2" fillId="4" borderId="0" xfId="0" applyFont="1" applyFill="1" applyAlignment="1">
      <alignment horizontal="center"/>
    </xf>
    <xf numFmtId="10" fontId="2" fillId="4" borderId="0" xfId="0" applyNumberFormat="1" applyFont="1" applyFill="1" applyAlignment="1">
      <alignment horizontal="center"/>
    </xf>
    <xf numFmtId="10" fontId="2" fillId="4" borderId="6" xfId="0" applyNumberFormat="1" applyFont="1" applyFill="1" applyBorder="1" applyAlignment="1">
      <alignment horizontal="center"/>
    </xf>
    <xf numFmtId="0" fontId="0" fillId="0" borderId="5" xfId="0" applyBorder="1"/>
    <xf numFmtId="0" fontId="2" fillId="0" borderId="5" xfId="0" applyFont="1" applyBorder="1"/>
    <xf numFmtId="0" fontId="2" fillId="0" borderId="0" xfId="0" applyFont="1" applyAlignment="1">
      <alignment horizontal="center"/>
    </xf>
    <xf numFmtId="10" fontId="2" fillId="0" borderId="0" xfId="0" applyNumberFormat="1" applyFont="1" applyAlignment="1">
      <alignment horizontal="center"/>
    </xf>
    <xf numFmtId="10" fontId="2" fillId="0" borderId="6" xfId="0" applyNumberFormat="1" applyFont="1" applyBorder="1" applyAlignment="1">
      <alignment horizontal="center"/>
    </xf>
    <xf numFmtId="0" fontId="2" fillId="4" borderId="6" xfId="0" applyFont="1" applyFill="1" applyBorder="1" applyAlignment="1">
      <alignment horizontal="center"/>
    </xf>
    <xf numFmtId="0" fontId="2" fillId="0" borderId="6" xfId="0" applyFont="1" applyBorder="1" applyAlignment="1">
      <alignment horizontal="center"/>
    </xf>
    <xf numFmtId="0" fontId="0" fillId="0" borderId="7" xfId="0" applyBorder="1"/>
    <xf numFmtId="0" fontId="2" fillId="0" borderId="7" xfId="0" applyFont="1" applyBorder="1"/>
    <xf numFmtId="0" fontId="2" fillId="0" borderId="8" xfId="0" applyFont="1" applyBorder="1" applyAlignment="1">
      <alignment horizontal="center"/>
    </xf>
    <xf numFmtId="10" fontId="2" fillId="0" borderId="8" xfId="0" applyNumberFormat="1" applyFont="1" applyBorder="1" applyAlignment="1">
      <alignment horizontal="center"/>
    </xf>
    <xf numFmtId="10" fontId="2" fillId="0" borderId="9" xfId="0" applyNumberFormat="1" applyFont="1" applyBorder="1" applyAlignment="1">
      <alignment horizontal="center"/>
    </xf>
    <xf numFmtId="0" fontId="6" fillId="0" borderId="0" xfId="0" applyFont="1"/>
    <xf numFmtId="0" fontId="0" fillId="0" borderId="3" xfId="0" applyBorder="1"/>
    <xf numFmtId="0" fontId="0" fillId="0" borderId="4" xfId="0" applyBorder="1"/>
    <xf numFmtId="0" fontId="0" fillId="0" borderId="6" xfId="0" applyBorder="1"/>
    <xf numFmtId="0" fontId="0" fillId="0" borderId="8" xfId="0" applyBorder="1"/>
    <xf numFmtId="0" fontId="0" fillId="0" borderId="9" xfId="0" applyBorder="1"/>
    <xf numFmtId="0" fontId="1" fillId="0" borderId="0" xfId="0" applyFont="1"/>
    <xf numFmtId="9" fontId="1" fillId="0" borderId="0" xfId="0" applyNumberFormat="1" applyFont="1"/>
    <xf numFmtId="10" fontId="1" fillId="0" borderId="0" xfId="0" applyNumberFormat="1" applyFont="1"/>
    <xf numFmtId="0" fontId="8" fillId="0" borderId="0" xfId="1" applyFont="1"/>
    <xf numFmtId="0" fontId="8" fillId="5" borderId="0" xfId="1" applyFont="1" applyFill="1" applyAlignment="1">
      <alignment horizontal="left"/>
    </xf>
    <xf numFmtId="0" fontId="7" fillId="6" borderId="0" xfId="1" applyFill="1" applyAlignment="1">
      <alignment horizontal="left"/>
    </xf>
    <xf numFmtId="0" fontId="7" fillId="0" borderId="0" xfId="1" applyAlignment="1">
      <alignment horizontal="left"/>
    </xf>
    <xf numFmtId="164" fontId="7" fillId="0" borderId="0" xfId="1" applyNumberFormat="1" applyAlignment="1">
      <alignment horizontal="right"/>
    </xf>
    <xf numFmtId="4" fontId="7" fillId="0" borderId="0" xfId="1" applyNumberFormat="1" applyAlignment="1">
      <alignment horizontal="right"/>
    </xf>
    <xf numFmtId="0" fontId="0" fillId="0" borderId="0" xfId="0" applyAlignment="1">
      <alignment vertical="center" wrapText="1"/>
    </xf>
    <xf numFmtId="14" fontId="0" fillId="0" borderId="0" xfId="0" applyNumberFormat="1"/>
    <xf numFmtId="0" fontId="8" fillId="0" borderId="0" xfId="1" applyFont="1" applyAlignment="1">
      <alignment horizontal="left"/>
    </xf>
    <xf numFmtId="0" fontId="7" fillId="7" borderId="0" xfId="1" applyFill="1" applyAlignment="1">
      <alignment horizontal="left"/>
    </xf>
    <xf numFmtId="4" fontId="7" fillId="7" borderId="0" xfId="1" applyNumberFormat="1" applyFill="1" applyAlignment="1">
      <alignment horizontal="right"/>
    </xf>
    <xf numFmtId="0" fontId="0" fillId="7" borderId="0" xfId="0" applyFill="1" applyAlignment="1">
      <alignment vertical="center" wrapText="1"/>
    </xf>
    <xf numFmtId="0" fontId="0" fillId="7" borderId="0" xfId="0" applyFill="1"/>
    <xf numFmtId="4" fontId="0" fillId="0" borderId="0" xfId="0" applyNumberFormat="1"/>
    <xf numFmtId="165" fontId="0" fillId="0" borderId="0" xfId="0" applyNumberFormat="1"/>
    <xf numFmtId="2" fontId="0" fillId="7" borderId="0" xfId="0" applyNumberFormat="1" applyFill="1"/>
    <xf numFmtId="4" fontId="0" fillId="7" borderId="0" xfId="0" applyNumberFormat="1" applyFill="1"/>
    <xf numFmtId="165" fontId="0" fillId="7" borderId="0" xfId="0" applyNumberFormat="1" applyFill="1"/>
    <xf numFmtId="166" fontId="0" fillId="0" borderId="1" xfId="0" applyNumberFormat="1" applyBorder="1"/>
    <xf numFmtId="0" fontId="0" fillId="8" borderId="0" xfId="0" applyFill="1"/>
    <xf numFmtId="0" fontId="9" fillId="8" borderId="0" xfId="0" applyFont="1" applyFill="1"/>
    <xf numFmtId="0" fontId="10" fillId="0" borderId="0" xfId="0" applyFont="1"/>
    <xf numFmtId="0" fontId="1" fillId="7" borderId="0" xfId="0" applyFont="1" applyFill="1"/>
    <xf numFmtId="165" fontId="7" fillId="0" borderId="0" xfId="1" applyNumberFormat="1" applyAlignment="1">
      <alignment horizontal="right"/>
    </xf>
    <xf numFmtId="165" fontId="7" fillId="6" borderId="0" xfId="1" applyNumberFormat="1" applyFill="1" applyAlignment="1">
      <alignment horizontal="right"/>
    </xf>
    <xf numFmtId="165" fontId="7" fillId="7" borderId="0" xfId="1" applyNumberFormat="1" applyFill="1" applyAlignment="1">
      <alignment horizontal="right"/>
    </xf>
    <xf numFmtId="14" fontId="7" fillId="0" borderId="0" xfId="1" applyNumberFormat="1" applyAlignment="1">
      <alignment horizontal="left"/>
    </xf>
    <xf numFmtId="14" fontId="7" fillId="6" borderId="0" xfId="1" applyNumberFormat="1" applyFill="1" applyAlignment="1">
      <alignment horizontal="left"/>
    </xf>
    <xf numFmtId="0" fontId="11" fillId="0" borderId="0" xfId="0" applyFont="1"/>
    <xf numFmtId="0" fontId="12" fillId="0" borderId="0" xfId="0" applyFon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10" fontId="0" fillId="0" borderId="13" xfId="0" applyNumberFormat="1" applyBorder="1"/>
    <xf numFmtId="10" fontId="0" fillId="0" borderId="15" xfId="0" applyNumberFormat="1" applyBorder="1"/>
    <xf numFmtId="0" fontId="1" fillId="0" borderId="10" xfId="0" applyFont="1" applyBorder="1"/>
    <xf numFmtId="2" fontId="0" fillId="0" borderId="11" xfId="0" applyNumberFormat="1" applyBorder="1"/>
    <xf numFmtId="0" fontId="1" fillId="0" borderId="14" xfId="0" applyFont="1" applyBorder="1"/>
    <xf numFmtId="2" fontId="0" fillId="0" borderId="15" xfId="0" applyNumberFormat="1" applyBorder="1"/>
    <xf numFmtId="0" fontId="1" fillId="0" borderId="16" xfId="0" applyFont="1" applyBorder="1"/>
    <xf numFmtId="2" fontId="0" fillId="0" borderId="17" xfId="0" applyNumberFormat="1" applyBorder="1"/>
    <xf numFmtId="4" fontId="0" fillId="0" borderId="15" xfId="0" applyNumberFormat="1" applyBorder="1"/>
    <xf numFmtId="2" fontId="0" fillId="0" borderId="13" xfId="0" applyNumberFormat="1" applyBorder="1"/>
    <xf numFmtId="9" fontId="0" fillId="0" borderId="13" xfId="0" applyNumberFormat="1" applyBorder="1"/>
    <xf numFmtId="2" fontId="0" fillId="0" borderId="12" xfId="0" applyNumberFormat="1" applyBorder="1"/>
    <xf numFmtId="0" fontId="1" fillId="0" borderId="10" xfId="0" applyFont="1" applyBorder="1" applyAlignment="1">
      <alignment horizontal="center"/>
    </xf>
    <xf numFmtId="0" fontId="1" fillId="0" borderId="18" xfId="0" applyFont="1" applyBorder="1" applyAlignment="1">
      <alignment horizontal="center"/>
    </xf>
    <xf numFmtId="0" fontId="1" fillId="0" borderId="11" xfId="0" applyFont="1" applyBorder="1" applyAlignment="1">
      <alignment horizontal="center"/>
    </xf>
    <xf numFmtId="0" fontId="0" fillId="0" borderId="0" xfId="0" applyBorder="1"/>
    <xf numFmtId="0" fontId="0" fillId="0" borderId="19" xfId="0" applyBorder="1"/>
    <xf numFmtId="0" fontId="0" fillId="0" borderId="17" xfId="0" applyBorder="1"/>
    <xf numFmtId="10" fontId="0" fillId="7" borderId="0" xfId="0" applyNumberFormat="1" applyFill="1"/>
    <xf numFmtId="0" fontId="1" fillId="0" borderId="0" xfId="0" applyFont="1" applyBorder="1" applyAlignment="1"/>
    <xf numFmtId="0" fontId="0" fillId="0" borderId="22" xfId="0" applyBorder="1"/>
    <xf numFmtId="0" fontId="0" fillId="0" borderId="23" xfId="0" applyBorder="1"/>
    <xf numFmtId="49" fontId="0" fillId="0" borderId="22" xfId="0" applyNumberFormat="1" applyBorder="1"/>
    <xf numFmtId="2" fontId="0" fillId="0" borderId="23" xfId="0" applyNumberFormat="1" applyBorder="1"/>
    <xf numFmtId="49" fontId="0" fillId="0" borderId="24" xfId="0" applyNumberFormat="1" applyBorder="1"/>
    <xf numFmtId="2" fontId="0" fillId="0" borderId="25" xfId="0" applyNumberFormat="1" applyBorder="1"/>
    <xf numFmtId="0" fontId="1" fillId="0" borderId="20" xfId="0" applyFont="1" applyBorder="1" applyAlignment="1">
      <alignment horizontal="center"/>
    </xf>
    <xf numFmtId="0" fontId="1" fillId="0" borderId="21" xfId="0" applyFont="1" applyBorder="1" applyAlignment="1">
      <alignment horizontal="center"/>
    </xf>
    <xf numFmtId="0" fontId="0" fillId="7" borderId="12" xfId="0" applyFill="1" applyBorder="1"/>
    <xf numFmtId="10" fontId="0" fillId="7" borderId="13" xfId="0" applyNumberFormat="1" applyFill="1" applyBorder="1"/>
    <xf numFmtId="0" fontId="0" fillId="7" borderId="14" xfId="0" applyFill="1" applyBorder="1"/>
    <xf numFmtId="10" fontId="0" fillId="7" borderId="15" xfId="0" applyNumberFormat="1" applyFill="1" applyBorder="1"/>
  </cellXfs>
  <cellStyles count="3">
    <cellStyle name="Normal" xfId="0" builtinId="0"/>
    <cellStyle name="Normal 2" xfId="1" xr:uid="{C7531138-2D4D-4BE5-8EED-A1F7CDE5785F}"/>
    <cellStyle name="Percent 2" xfId="2" xr:uid="{47BD0CCE-BAC1-4721-B1A6-43000D4A68A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33"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Array" Target="richData/rdarray.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microsoft.com/office/2017/06/relationships/rdSupportingPropertyBag" Target="richData/rdsupporting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SupportingPropertyBagStructure" Target="richData/rdsupportingpropertybag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06/relationships/rdRichValue" Target="richData/rdrichvalue.xml"/><Relationship Id="rId30" Type="http://schemas.microsoft.com/office/2017/06/relationships/richStyles" Target="richData/richStyles.xml"/><Relationship Id="rId35"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698500</xdr:colOff>
      <xdr:row>0</xdr:row>
      <xdr:rowOff>0</xdr:rowOff>
    </xdr:from>
    <xdr:to>
      <xdr:col>6</xdr:col>
      <xdr:colOff>200412</xdr:colOff>
      <xdr:row>5</xdr:row>
      <xdr:rowOff>19558</xdr:rowOff>
    </xdr:to>
    <xdr:pic>
      <xdr:nvPicPr>
        <xdr:cNvPr id="2" name="Picture 1" descr="McCombs School of Business | What Starts Here – UT Austin">
          <a:extLst>
            <a:ext uri="{FF2B5EF4-FFF2-40B4-BE49-F238E27FC236}">
              <a16:creationId xmlns:a16="http://schemas.microsoft.com/office/drawing/2014/main" id="{7EAD8589-0DA0-A144-9D72-927EA5AC6D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5600" y="0"/>
          <a:ext cx="3654812" cy="9720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724805</xdr:colOff>
      <xdr:row>0</xdr:row>
      <xdr:rowOff>0</xdr:rowOff>
    </xdr:from>
    <xdr:to>
      <xdr:col>6</xdr:col>
      <xdr:colOff>248489</xdr:colOff>
      <xdr:row>5</xdr:row>
      <xdr:rowOff>19558</xdr:rowOff>
    </xdr:to>
    <xdr:pic>
      <xdr:nvPicPr>
        <xdr:cNvPr id="2" name="Picture 1" descr="McCombs School of Business | What Starts Here – UT Austin">
          <a:extLst>
            <a:ext uri="{FF2B5EF4-FFF2-40B4-BE49-F238E27FC236}">
              <a16:creationId xmlns:a16="http://schemas.microsoft.com/office/drawing/2014/main" id="{49D75BE1-A787-7945-8AA8-A1BE46F8D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39091" y="0"/>
          <a:ext cx="3660255" cy="962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990600</xdr:colOff>
      <xdr:row>0</xdr:row>
      <xdr:rowOff>0</xdr:rowOff>
    </xdr:from>
    <xdr:to>
      <xdr:col>10</xdr:col>
      <xdr:colOff>251212</xdr:colOff>
      <xdr:row>5</xdr:row>
      <xdr:rowOff>19558</xdr:rowOff>
    </xdr:to>
    <xdr:pic>
      <xdr:nvPicPr>
        <xdr:cNvPr id="2" name="Picture 1" descr="McCombs School of Business | What Starts Here – UT Austin">
          <a:extLst>
            <a:ext uri="{FF2B5EF4-FFF2-40B4-BE49-F238E27FC236}">
              <a16:creationId xmlns:a16="http://schemas.microsoft.com/office/drawing/2014/main" id="{B3116B43-EF87-A144-9AD9-278DEF4F942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91800" y="0"/>
          <a:ext cx="3654812" cy="9720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1571625</xdr:colOff>
      <xdr:row>0</xdr:row>
      <xdr:rowOff>0</xdr:rowOff>
    </xdr:from>
    <xdr:to>
      <xdr:col>13</xdr:col>
      <xdr:colOff>241687</xdr:colOff>
      <xdr:row>5</xdr:row>
      <xdr:rowOff>19558</xdr:rowOff>
    </xdr:to>
    <xdr:pic>
      <xdr:nvPicPr>
        <xdr:cNvPr id="2" name="Picture 1" descr="McCombs School of Business | What Starts Here – UT Austin">
          <a:extLst>
            <a:ext uri="{FF2B5EF4-FFF2-40B4-BE49-F238E27FC236}">
              <a16:creationId xmlns:a16="http://schemas.microsoft.com/office/drawing/2014/main" id="{16BF1043-BF8E-2840-A79F-060A2FE675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51000" y="0"/>
          <a:ext cx="3654812" cy="9720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1564889</xdr:colOff>
      <xdr:row>0</xdr:row>
      <xdr:rowOff>0</xdr:rowOff>
    </xdr:from>
    <xdr:to>
      <xdr:col>13</xdr:col>
      <xdr:colOff>241301</xdr:colOff>
      <xdr:row>5</xdr:row>
      <xdr:rowOff>19558</xdr:rowOff>
    </xdr:to>
    <xdr:pic>
      <xdr:nvPicPr>
        <xdr:cNvPr id="3" name="Picture 2" descr="McCombs School of Business | What Starts Here – UT Austin">
          <a:extLst>
            <a:ext uri="{FF2B5EF4-FFF2-40B4-BE49-F238E27FC236}">
              <a16:creationId xmlns:a16="http://schemas.microsoft.com/office/drawing/2014/main" id="{CCA888CE-BF89-D681-A46C-2541406A87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620489" y="0"/>
          <a:ext cx="3654812" cy="9720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2738436</xdr:colOff>
      <xdr:row>0</xdr:row>
      <xdr:rowOff>13229</xdr:rowOff>
    </xdr:from>
    <xdr:to>
      <xdr:col>4</xdr:col>
      <xdr:colOff>228456</xdr:colOff>
      <xdr:row>5</xdr:row>
      <xdr:rowOff>59245</xdr:rowOff>
    </xdr:to>
    <xdr:pic>
      <xdr:nvPicPr>
        <xdr:cNvPr id="2" name="Picture 1" descr="McCombs School of Business | What Starts Here – UT Austin">
          <a:extLst>
            <a:ext uri="{FF2B5EF4-FFF2-40B4-BE49-F238E27FC236}">
              <a16:creationId xmlns:a16="http://schemas.microsoft.com/office/drawing/2014/main" id="{FAFAD72A-7243-6249-9FE8-218144284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38436" y="13229"/>
          <a:ext cx="3654812" cy="9720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Vuong, Dat B" id="{534EF2AF-B3EC-4937-8B8A-5B237DF66172}" userId="S::dbv378@eid.utexas.edu::50104835-7bcc-4f8c-9f4e-df592910b6ed"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15">
  <a r="1" c="61">
    <v t="i">0</v>
    <v t="i">31</v>
    <v t="i">61</v>
    <v t="i">92</v>
    <v t="i">122</v>
    <v t="i">153</v>
    <v t="i">184</v>
    <v t="i">214</v>
    <v t="i">245</v>
    <v t="i">275</v>
    <v t="i">306</v>
    <v t="i">337</v>
    <v t="i">365</v>
    <v t="i">396</v>
    <v t="i">426</v>
    <v t="i">457</v>
    <v t="i">487</v>
    <v t="i">518</v>
    <v t="i">549</v>
    <v t="i">579</v>
    <v t="i">610</v>
    <v t="i">640</v>
    <v t="i">671</v>
    <v t="i">702</v>
    <v t="i">730</v>
    <v t="i">761</v>
    <v t="i">791</v>
    <v t="i">822</v>
    <v t="i">852</v>
    <v t="i">883</v>
    <v t="i">914</v>
    <v t="i">944</v>
    <v t="i">975</v>
    <v t="i">1005</v>
    <v t="i">1036</v>
    <v t="i">1067</v>
    <v t="i">1096</v>
    <v t="i">1127</v>
    <v t="i">1157</v>
    <v t="i">1188</v>
    <v t="i">1218</v>
    <v t="i">1249</v>
    <v t="i">1280</v>
    <v t="i">1310</v>
    <v t="i">1341</v>
    <v t="i">1371</v>
    <v t="i">1402</v>
    <v t="i">1433</v>
    <v t="i">1461</v>
    <v t="i">1492</v>
    <v t="i">1522</v>
    <v t="i">1553</v>
    <v t="i">1583</v>
    <v t="i">1614</v>
    <v t="i">1645</v>
    <v t="i">1675</v>
    <v t="i">1706</v>
    <v t="i">1736</v>
    <v t="i">1767</v>
    <v t="i">1798</v>
    <v t="i">1826</v>
  </a>
  <a r="1" c="61">
    <v>70.17</v>
    <v>75.790000000000006</v>
    <v>78.739999999999995</v>
    <v>77.84</v>
    <v>87.14</v>
    <v>89.13</v>
    <v>87.13</v>
    <v>95.94</v>
    <v>90.74</v>
    <v>87.21</v>
    <v>81.16</v>
    <v>75.97</v>
    <v>82.73</v>
    <v>73.400000000000006</v>
    <v>71.92</v>
    <v>69.87</v>
    <v>77.84</v>
    <v>74.150000000000006</v>
    <v>61.07</v>
    <v>78.069999999999993</v>
    <v>83.03</v>
    <v>81.739999999999995</v>
    <v>88.46</v>
    <v>87.4</v>
    <v>92.92</v>
    <v>94.72</v>
    <v>105.94</v>
    <v>119.09</v>
    <v>117.23</v>
    <v>120.39</v>
    <v>105.92</v>
    <v>103.4</v>
    <v>116.21</v>
    <v>105.43</v>
    <v>111.7</v>
    <v>111.68</v>
    <v>125.61</v>
    <v>113.75</v>
    <v>117.19</v>
    <v>141.19999999999999</v>
    <v>139.44999999999999</v>
    <v>141.29</v>
    <v>170.4</v>
    <v>167.84</v>
    <v>184.84</v>
    <v>166.64</v>
    <v>170.06</v>
    <v>166.06</v>
    <v>139.81</v>
    <v>140.72</v>
    <v>165.53</v>
    <v>218.63</v>
    <v>253.77</v>
    <v>226.13</v>
    <v>281.24</v>
    <v>262.61</v>
    <v>201.95</v>
    <v>194.91</v>
    <v>164.58</v>
    <v>145.4</v>
    <v>155.11000000000001</v>
  </a>
  <a r="1" c="61">
    <v>352.48</v>
    <v>372.09</v>
    <v>378.27</v>
    <v>395.67</v>
    <v>429.72</v>
    <v>455.49</v>
    <v>449.35</v>
    <v>491.54</v>
    <v>539.38</v>
    <v>567.70000000000005</v>
    <v>505.13</v>
    <v>519.25</v>
    <v>575.85</v>
    <v>531.72</v>
    <v>466.22</v>
    <v>479.28</v>
    <v>541.29999999999995</v>
    <v>522.1</v>
    <v>472.27</v>
    <v>501.5</v>
    <v>539.25</v>
    <v>456.5</v>
    <v>511.14</v>
    <v>484.18</v>
    <v>496.87</v>
    <v>503.22</v>
    <v>511.56</v>
    <v>538.38</v>
    <v>560.66999999999996</v>
    <v>549.28</v>
    <v>564.96</v>
    <v>552.44000000000005</v>
    <v>592.74</v>
    <v>660.08</v>
    <v>694.88</v>
    <v>743.89</v>
    <v>732.63</v>
    <v>722.9</v>
    <v>809.89</v>
    <v>849.99</v>
    <v>822</v>
    <v>892.38</v>
    <v>886.52</v>
    <v>874.18</v>
    <v>971.88</v>
    <v>916.27</v>
    <v>979.88</v>
    <v>1048.6099999999999</v>
    <v>945.78</v>
    <v>994.5</v>
    <v>1040.18</v>
    <v>989.94</v>
    <v>939.64</v>
    <v>943.32</v>
    <v>925.63</v>
    <v>911.45</v>
    <v>913.59</v>
    <v>862.34</v>
    <v>940.25</v>
    <v>1010.79</v>
    <v>1008.43</v>
  </a>
  <a r="1" c="61">
    <v>224.94110000000001</v>
    <v>229.12780000000001</v>
    <v>212.27189999999999</v>
    <v>224.9907</v>
    <v>193.65</v>
    <v>165.67240000000001</v>
    <v>146.8819</v>
    <v>163.6386</v>
    <v>126.52379999999999</v>
    <v>117.8527</v>
    <v>124.7975</v>
    <v>104.3601</v>
    <v>107.94159999999999</v>
    <v>96.323999999999998</v>
    <v>95.292199999999994</v>
    <v>112.7831</v>
    <v>88.664900000000003</v>
    <v>94.657200000000003</v>
    <v>79.358900000000006</v>
    <v>63.078400000000002</v>
    <v>86.869200000000006</v>
    <v>87.394999999999996</v>
    <v>109.3305</v>
    <v>87.097300000000004</v>
    <v>101.3738</v>
    <v>84.021799999999999</v>
    <v>78.922399999999996</v>
    <v>82.692400000000006</v>
    <v>101.354</v>
    <v>92.167000000000002</v>
    <v>86.055599999999998</v>
    <v>81.888800000000003</v>
    <v>74.289199999999994</v>
    <v>76.898399999999995</v>
    <v>71.6006</v>
    <v>73.445899999999995</v>
    <v>71.789100000000005</v>
    <v>74.259399999999999</v>
    <v>77.721900000000005</v>
    <v>71.431899999999999</v>
    <v>78.227900000000005</v>
    <v>82.682400000000001</v>
    <v>105.28270000000001</v>
    <v>97.206900000000005</v>
    <v>86.680700000000002</v>
    <v>84.120999999999995</v>
    <v>98.060199999999995</v>
    <v>131.46449999999999</v>
    <v>131.1867</v>
    <v>118.4877</v>
    <v>112.9418</v>
    <v>113.41</v>
    <v>120.63</v>
    <v>135</v>
    <v>178.73</v>
    <v>170.43</v>
    <v>157.30000000000001</v>
    <v>146.58000000000001</v>
    <v>169.56</v>
    <v>144.11000000000001</v>
    <v>135.21</v>
  </a>
  <a r="1" c="61">
    <v>14.4856</v>
    <v>16.252199999999998</v>
    <v>15.944000000000001</v>
    <v>15.3276</v>
    <v>14.3428</v>
    <v>13.9369</v>
    <v>13.5761</v>
    <v>13.981999999999999</v>
    <v>13.929399999999999</v>
    <v>14.5458</v>
    <v>15.410299999999999</v>
    <v>16.7333</v>
    <v>15.628299999999999</v>
    <v>12.3733</v>
    <v>11.9298</v>
    <v>9.3739000000000008</v>
    <v>10.7195</v>
    <v>11.238200000000001</v>
    <v>8.4718999999999998</v>
    <v>10.6669</v>
    <v>11.2608</v>
    <v>9.9152000000000005</v>
    <v>11.238200000000001</v>
    <v>9.4867000000000008</v>
    <v>7.0736999999999997</v>
    <v>6.3369999999999997</v>
    <v>5.9236000000000004</v>
    <v>6.8781999999999996</v>
    <v>7.4119999999999999</v>
    <v>5.7431000000000001</v>
    <v>4.1193999999999997</v>
    <v>4.1119000000000003</v>
    <v>5.1943999999999999</v>
    <v>6.0061999999999998</v>
    <v>5.9912000000000001</v>
    <v>3.0293999999999999</v>
    <v>2.9542999999999999</v>
    <v>2.8264999999999998</v>
    <v>2.0447000000000002</v>
    <v>2.3603999999999998</v>
    <v>2.8264999999999998</v>
    <v>1.4809000000000001</v>
    <v>1.6876</v>
    <v>2.5219999999999998</v>
    <v>1.5034000000000001</v>
    <v>1.6613</v>
    <v>1.4132</v>
    <v>1.2178</v>
    <v>2.2250999999999999</v>
    <v>1.5109999999999999</v>
    <v>1.6688000000000001</v>
    <v>2.2101000000000002</v>
    <v>2.2475999999999998</v>
    <v>2.2475999999999998</v>
    <v>1.8492</v>
    <v>1.8267</v>
    <v>3.1798000000000002</v>
    <v>3.99</v>
    <v>3.35</v>
    <v>4.1500000000000004</v>
    <v>3.97</v>
  </a>
  <a r="1" c="61">
    <v>18.399999999999999</v>
    <v>20.32</v>
    <v>23.26</v>
    <v>23.4</v>
    <v>22.17</v>
    <v>22.74</v>
    <v>22.82</v>
    <v>23.44</v>
    <v>20.62</v>
    <v>20.16</v>
    <v>20.85</v>
    <v>23.43</v>
    <v>22.07</v>
    <v>18.52</v>
    <v>19.72</v>
    <v>16.89</v>
    <v>18.57</v>
    <v>19.100000000000001</v>
    <v>14.32</v>
    <v>14.15</v>
    <v>11.7</v>
    <v>11.19</v>
    <v>12.96</v>
    <v>11.7</v>
    <v>8.7200000000000006</v>
    <v>7.71</v>
    <v>7.03</v>
    <v>7.88</v>
    <v>9.4700000000000006</v>
    <v>8.06</v>
    <v>6.92</v>
    <v>6.52</v>
    <v>7.73</v>
    <v>8.9600000000000009</v>
    <v>9.5500000000000007</v>
    <v>5.84</v>
    <v>6.32</v>
    <v>5.75</v>
    <v>6.24</v>
    <v>5.2</v>
    <v>6.43</v>
    <v>5.0999999999999996</v>
    <v>5.36</v>
    <v>5.71</v>
    <v>4.2699999999999996</v>
    <v>3.15</v>
    <v>3.74</v>
    <v>3.76</v>
    <v>4.32</v>
    <v>3.35</v>
    <v>3.97</v>
    <v>4.53</v>
    <v>4.51</v>
    <v>6.13</v>
    <v>5.78</v>
    <v>4.57</v>
    <v>4.92</v>
    <v>4.84</v>
    <v>4.51</v>
    <v>5.19</v>
    <v>4.63</v>
  </a>
  <a r="1" c="61">
    <v>140.43</v>
    <v>147.41</v>
    <v>151.91</v>
    <v>147.88</v>
    <v>147.07</v>
    <v>149.75</v>
    <v>151.96</v>
    <v>149.93</v>
    <v>149.5</v>
    <v>150.97999999999999</v>
    <v>165.38</v>
    <v>185.05</v>
    <v>188.48</v>
    <v>158.41999999999999</v>
    <v>175.22</v>
    <v>162.88</v>
    <v>188.37</v>
    <v>191.32</v>
    <v>166.85</v>
    <v>171.3</v>
    <v>189.56</v>
    <v>175.03</v>
    <v>204.77</v>
    <v>185.9</v>
    <v>172.66</v>
    <v>173.45</v>
    <v>150.91999999999999</v>
    <v>166.55</v>
    <v>186.72</v>
    <v>162.80000000000001</v>
    <v>143.37</v>
    <v>140.08000000000001</v>
    <v>141.93</v>
    <v>156.75</v>
    <v>177.71</v>
    <v>166.17</v>
    <v>172.29</v>
    <v>160.06</v>
    <v>165.69</v>
    <v>166.01</v>
    <v>184.79</v>
    <v>170.88</v>
    <v>165.35</v>
    <v>175.92</v>
    <v>170.59</v>
    <v>157.97</v>
    <v>153.22</v>
    <v>169.15</v>
    <v>179.22</v>
    <v>149.66</v>
    <v>170.42</v>
    <v>172.95</v>
    <v>187.11</v>
    <v>204.53</v>
    <v>197.74</v>
    <v>195.73</v>
    <v>192.14</v>
    <v>203.05</v>
    <v>212.38</v>
    <v>251.02</v>
    <v>233.61</v>
  </a>
  <a r="1" c="61">
    <v>396.33</v>
    <v>417.3</v>
    <v>420.04</v>
    <v>428.06</v>
    <v>438.51</v>
    <v>451.56</v>
    <v>429.14</v>
    <v>459.25</v>
    <v>455.56</v>
    <v>474.96</v>
    <v>449.91</v>
    <v>436.63</v>
    <v>451.64</v>
    <v>412</v>
    <v>412.93</v>
    <v>377.25</v>
    <v>411.99</v>
    <v>395.18</v>
    <v>357.18</v>
    <v>386.21</v>
    <v>407.68</v>
    <v>382.43</v>
    <v>406.48</v>
    <v>396.26</v>
    <v>409.39</v>
    <v>415.93</v>
    <v>417.85</v>
    <v>443.28</v>
    <v>457.79</v>
    <v>450.35</v>
    <v>427.48</v>
    <v>418.2</v>
    <v>456.4</v>
    <v>475.31</v>
    <v>482.88</v>
    <v>508.08</v>
    <v>523.07000000000005</v>
    <v>501.98</v>
    <v>527.37</v>
    <v>544.22</v>
    <v>550.80999999999995</v>
    <v>563.67999999999995</v>
    <v>573.76</v>
    <v>568.64</v>
    <v>602.54999999999995</v>
    <v>586.08000000000004</v>
    <v>601.82000000000005</v>
    <v>594.17999999999995</v>
    <v>559.39</v>
    <v>554.54</v>
    <v>589.39</v>
    <v>617.85</v>
    <v>632.08000000000004</v>
    <v>645.04999999999995</v>
    <v>666.18</v>
    <v>682.06</v>
    <v>683.39</v>
    <v>681.92</v>
    <v>691.97</v>
    <v>685.99</v>
    <v>662.29</v>
  </a>
  <a r="1" c="61">
    <v>94.484399999999994</v>
    <v>95.484399999999994</v>
    <v>100.14060000000001</v>
    <v>101.4063</v>
    <v>103.67189999999999</v>
    <v>99.406300000000002</v>
    <v>97.703100000000006</v>
    <v>97.078100000000006</v>
    <v>98.656300000000002</v>
    <v>98.75</v>
    <v>96.296899999999994</v>
    <v>99.75</v>
    <v>95.8125</v>
    <v>91.015600000000006</v>
    <v>100.0938</v>
    <v>98.796899999999994</v>
    <v>101.7813</v>
    <v>96.234399999999994</v>
    <v>91.203100000000006</v>
    <v>89.531300000000002</v>
    <v>103.1875</v>
    <v>102</v>
    <v>104.8438</v>
    <v>96.531300000000002</v>
    <v>100.2188</v>
    <v>100.42189999999999</v>
    <v>97.8125</v>
    <v>96.203100000000006</v>
    <v>95.25</v>
    <v>98.0625</v>
    <v>94.453100000000006</v>
    <v>91.890600000000006</v>
    <v>102.01560000000001</v>
    <v>105.1563</v>
    <v>103.6875</v>
    <v>97.875</v>
    <v>98.468800000000002</v>
    <v>94.6875</v>
    <v>98.984399999999994</v>
    <v>99.671899999999994</v>
    <v>102.5313</v>
    <v>99.718800000000002</v>
    <v>100.79689999999999</v>
    <v>96.718800000000002</v>
    <v>100.57810000000001</v>
    <v>97.453100000000006</v>
    <v>97.703100000000006</v>
    <v>103.4063</v>
    <v>103.32810000000001</v>
    <v>103.5313</v>
    <v>98.8125</v>
    <v>100.14060000000001</v>
    <v>98.953100000000006</v>
    <v>100.14060000000001</v>
    <v>100.75</v>
    <v>101.32810000000001</v>
    <v>99.859399999999994</v>
    <v>98.6875</v>
    <v>98.078100000000006</v>
    <v>101.4375</v>
    <v>98.734399999999994</v>
  </a>
  <a r="1" c="61">
    <v>154.70400000000001</v>
    <v>173.37100000000001</v>
    <v>161.15350000000001</v>
    <v>172.00800000000001</v>
    <v>166.37950000000001</v>
    <v>173.5395</v>
    <v>164.25200000000001</v>
    <v>168.6215</v>
    <v>175.3535</v>
    <v>166.71700000000001</v>
    <v>149.5735</v>
    <v>153.56299999999999</v>
    <v>162.9975</v>
    <v>124.28149999999999</v>
    <v>120.20950000000001</v>
    <v>106.21</v>
    <v>134.94999999999999</v>
    <v>126.77</v>
    <v>113</v>
    <v>102.44</v>
    <v>96.54</v>
    <v>84</v>
    <v>103.13</v>
    <v>94.23</v>
    <v>103.29</v>
    <v>105.45</v>
    <v>120.58</v>
    <v>130.36000000000001</v>
    <v>133.68</v>
    <v>138.01</v>
    <v>127.12</v>
    <v>133.09</v>
    <v>146.09</v>
    <v>151.94</v>
    <v>155.19999999999999</v>
    <v>176.76</v>
    <v>180.38</v>
    <v>175</v>
    <v>176.44</v>
    <v>193.25</v>
    <v>186.98</v>
    <v>178.5</v>
    <v>186.33</v>
    <v>186.4</v>
    <v>207.89</v>
    <v>219.39</v>
    <v>237.68</v>
    <v>212.28</v>
    <v>190.26</v>
    <v>184.42</v>
    <v>205.01</v>
    <v>219.39</v>
    <v>234.11</v>
    <v>229</v>
    <v>219.57</v>
    <v>244.22</v>
    <v>233.22</v>
    <v>230.82</v>
    <v>239.3</v>
    <v>210</v>
    <v>207.67</v>
  </a>
  <a r="1" c="61">
    <v>45.276200000000003</v>
    <v>46.636200000000002</v>
    <v>47.3429</v>
    <v>47.0062</v>
    <v>47.516199999999998</v>
    <v>49.366199999999999</v>
    <v>46.459499999999998</v>
    <v>49.806199999999997</v>
    <v>46.876199999999997</v>
    <v>48.229500000000002</v>
    <v>46.602899999999998</v>
    <v>45.052900000000001</v>
    <v>49.639499999999998</v>
    <v>50.996200000000002</v>
    <v>42.876199999999997</v>
    <v>40.526299999999999</v>
    <v>44.016199999999998</v>
    <v>44.182899999999997</v>
    <v>43.232900000000001</v>
    <v>47.442900000000002</v>
    <v>50.806199999999997</v>
    <v>47.262900000000002</v>
    <v>47.956200000000003</v>
    <v>47.376199999999997</v>
    <v>49.149500000000003</v>
    <v>50.322800000000001</v>
    <v>48.956200000000003</v>
    <v>52.392800000000001</v>
    <v>53.286099999999998</v>
    <v>54.202800000000003</v>
    <v>53.3095</v>
    <v>54.469499999999996</v>
    <v>51.896099999999997</v>
    <v>52.549500000000002</v>
    <v>55.082799999999999</v>
    <v>58.61</v>
    <v>60.17</v>
    <v>59.35</v>
    <v>65.760000000000005</v>
    <v>67.709999999999994</v>
    <v>68.64</v>
    <v>77.23</v>
    <v>80.75</v>
    <v>81.95</v>
    <v>92.5</v>
    <v>90.35</v>
    <v>98.16</v>
    <v>98.61</v>
    <v>87.79</v>
    <v>97.25</v>
    <v>98.72</v>
    <v>97.78</v>
    <v>97.98</v>
    <v>96.98</v>
    <v>103.06</v>
    <v>101.18</v>
    <v>110.51</v>
    <v>111.41</v>
    <v>119.14</v>
    <v>127.95</v>
    <v>126.52</v>
  </a>
  <a r="1" c="61">
    <v>18.829999999999998</v>
    <v>20.059999999999999</v>
    <v>19.39</v>
    <v>18.760000000000002</v>
    <v>17.72</v>
    <v>17.72</v>
    <v>19.72</v>
    <v>19.66</v>
    <v>19.75</v>
    <v>18.559999999999999</v>
    <v>19.36</v>
    <v>22.92</v>
    <v>22.4</v>
    <v>22.05</v>
    <v>21.9</v>
    <v>20.97</v>
    <v>20.94</v>
    <v>21.4</v>
    <v>20.68</v>
    <v>20.88</v>
    <v>19.739999999999998</v>
    <v>21.19</v>
    <v>19.93</v>
    <v>17.399999999999999</v>
    <v>16.91</v>
    <v>17.100000000000001</v>
    <v>15.49</v>
    <v>16.239999999999998</v>
    <v>16.899999999999999</v>
    <v>16.53</v>
    <v>14.57</v>
    <v>14.51</v>
    <v>15.33</v>
    <v>15.3</v>
    <v>15.59</v>
    <v>14.01</v>
    <v>14.94</v>
    <v>13.64</v>
    <v>14.91</v>
    <v>13.94</v>
    <v>15.93</v>
    <v>13.88</v>
    <v>15.78</v>
    <v>16.43</v>
    <v>18.77</v>
    <v>18.29</v>
    <v>18.22</v>
    <v>18.2</v>
    <v>18.22</v>
    <v>16.23</v>
    <v>16.72</v>
    <v>16.760000000000002</v>
    <v>16.7</v>
    <v>21.2</v>
    <v>20.329999999999998</v>
    <v>19.670000000000002</v>
    <v>19.52</v>
    <v>19.41</v>
    <v>19.16</v>
    <v>20.95</v>
    <v>20.3</v>
  </a>
  <a r="1" c="61">
    <v>29.26</v>
    <v>32.47</v>
    <v>33.69</v>
    <v>33.22</v>
    <v>28.29</v>
    <v>30.01</v>
    <v>31.68</v>
    <v>26.13</v>
    <v>23.33</v>
    <v>26.43</v>
    <v>27.48</v>
    <v>30</v>
    <v>28.02</v>
    <v>22.24</v>
    <v>24.23</v>
    <v>20.399999999999999</v>
    <v>21.84</v>
    <v>22.09</v>
    <v>18.09</v>
    <v>17.809999999999999</v>
    <v>18.559999999999999</v>
    <v>15.51</v>
    <v>20.63</v>
    <v>16.27</v>
    <v>17.16</v>
    <v>19.89</v>
    <v>15.38</v>
    <v>13.82</v>
    <v>13.91</v>
    <v>12.62</v>
    <v>11.22</v>
    <v>10.87</v>
    <v>12.61</v>
    <v>13.03</v>
    <v>15.7</v>
    <v>14.85</v>
    <v>13.47</v>
    <v>12.3</v>
    <v>14.2</v>
    <v>13.33</v>
    <v>15.38</v>
    <v>13.92</v>
    <v>15.3</v>
    <v>17.27</v>
    <v>18.32</v>
    <v>16.14</v>
    <v>14.65</v>
    <v>14.52</v>
    <v>15.93</v>
    <v>14.4</v>
    <v>14.03</v>
    <v>13.82</v>
    <v>14.46</v>
    <v>14.47</v>
    <v>15.1</v>
    <v>13.66</v>
    <v>15.76</v>
    <v>15.3</v>
    <v>14.51</v>
    <v>16.34</v>
    <v>14.09</v>
  </a>
  <a r="1" c="61">
    <v>1472.14</v>
    <v>1570.98</v>
    <v>1358.67</v>
    <v>1557.79</v>
    <v>1568.7</v>
    <v>1867.45</v>
    <v>1679.4</v>
    <v>1481.02</v>
    <v>1188.4100000000001</v>
    <v>1348.4</v>
    <v>1132.06</v>
    <v>1126.6500000000001</v>
    <v>1189.48</v>
    <v>973.63</v>
    <v>785.88</v>
    <v>636.87</v>
    <v>813.71</v>
    <v>855.36</v>
    <v>827.78</v>
    <v>901.62</v>
    <v>930.98500000000001</v>
    <v>846.24</v>
    <v>1181.69</v>
    <v>1220</v>
    <v>1318.06</v>
    <v>1277.49</v>
    <v>1239</v>
    <v>1184.5999999999999</v>
    <v>1238.05</v>
    <v>1372.36</v>
    <v>1267.8800000000001</v>
    <v>1240.74</v>
    <v>1620.46</v>
    <v>1571.54</v>
    <v>1711.81</v>
    <v>1595.3</v>
    <v>1511.96</v>
    <v>1458.7</v>
    <v>1725.58</v>
    <v>1643.4</v>
    <v>1668.9</v>
    <v>2061.66</v>
    <v>2051.96</v>
    <v>2037.18</v>
    <v>1985.17</v>
    <v>1700.44</v>
    <v>1922.19</v>
    <v>2121.87</v>
    <v>1950.87</v>
    <v>2330.85</v>
    <v>2563.29</v>
    <v>2613.63</v>
    <v>2373.89</v>
    <v>2472.91</v>
    <v>2336.94</v>
    <v>2327.2600000000002</v>
    <v>2071.7800000000002</v>
    <v>2014.26</v>
    <v>2147.79</v>
    <v>1757.58</v>
    <v>1670</v>
  </a>
  <a r="1" c="61">
    <v>235.77</v>
    <v>252.18</v>
    <v>249.68</v>
    <v>270.89999999999998</v>
    <v>284.91000000000003</v>
    <v>301.88</v>
    <v>281.92</v>
    <v>331.62</v>
    <v>330.59</v>
    <v>336.32</v>
    <v>310.98</v>
    <v>298.79000000000002</v>
    <v>308.31</v>
    <v>277.52</v>
    <v>271.87</v>
    <v>256.83</v>
    <v>280.74</v>
    <v>261.47000000000003</v>
    <v>232.9</v>
    <v>232.13</v>
    <v>255.14</v>
    <v>239.82</v>
    <v>247.81</v>
    <v>249.42</v>
    <v>288.3</v>
    <v>307.26</v>
    <v>328.39</v>
    <v>340.54</v>
    <v>335.92</v>
    <v>327.76</v>
    <v>315.75</v>
    <v>338.11</v>
    <v>378.91</v>
    <v>376.04</v>
    <v>397.58</v>
    <v>413.64</v>
    <v>420.72</v>
    <v>389.33</v>
    <v>415.13</v>
    <v>446.95</v>
    <v>418.35</v>
    <v>417.14</v>
    <v>430.3</v>
    <v>406.35</v>
    <v>423.46</v>
    <v>421.5</v>
    <v>415.06</v>
    <v>396.99</v>
    <v>375.39</v>
    <v>395.26</v>
    <v>460.36</v>
    <v>497.41</v>
    <v>533.5</v>
    <v>506.69</v>
    <v>517.95000000000005</v>
    <v>517.80999999999995</v>
    <v>492.01</v>
    <v>483.62</v>
    <v>430.29</v>
    <v>392.74</v>
    <v>395.55</v>
  </a>
</arrayData>
</file>

<file path=xl/richData/rdrichvalue.xml><?xml version="1.0" encoding="utf-8"?>
<rvData xmlns="http://schemas.microsoft.com/office/spreadsheetml/2017/richdata" count="956">
  <rv s="0">
    <v>https://www.bing.com/financeapi/forcetrigger?t=r6dwra&amp;q=US10Y&amp;form=skydnc</v>
    <v>Learn more on Bing</v>
  </rv>
  <rv s="1">
    <v>0</v>
    <v>US Treasury 10Y</v>
    <v>2</v>
    <v>3</v>
    <v>Finance</v>
    <v>4</v>
    <v>en-US</v>
    <v>r6dwra</v>
    <v>268435456</v>
    <v>1</v>
    <v>Powered by Refinitiv</v>
    <v>-2.3999999999999998E-3</v>
    <v>-5.6010000000000001E-4</v>
    <v>US</v>
    <v>USD</v>
    <v>Bond</v>
    <v>46094.878472222219</v>
    <v>0</v>
    <v>49720</v>
    <v>US Treasury 10Y</v>
    <v>4.2850000000000001</v>
    <v>4.2826000000000004</v>
    <v>US10Y</v>
    <v>US Treasury 10Y</v>
    <v>4.104E-2</v>
    <v>4.1459999999999997E-2</v>
    <v>4.3198E-2</v>
    <v>4.2729999999999997E-2</v>
  </rv>
  <rv s="2">
    <v>1</v>
  </rv>
  <rv s="0">
    <v>https://www.bing.com/financeapi/forcetrigger?t=a246kr&amp;q=XNYS%3aTGNA&amp;form=skydnc</v>
    <v>Learn more on Bing</v>
  </rv>
  <rv s="3">
    <v>5</v>
    <v>TEGNA INC. (XNYS:TGNA)</v>
    <v>6</v>
    <v>7</v>
    <v>Finance</v>
    <v>8</v>
    <v>en-US</v>
    <v>a246kr</v>
    <v>268435456</v>
    <v>1</v>
    <v>Powered by Refinitiv</v>
    <v>21.35</v>
    <v>14.87</v>
    <v>0.1338</v>
    <v>0.09</v>
    <v>4.4529999999999995E-3</v>
    <v>0</v>
    <v>0</v>
    <v>USD</v>
    <v>Tegna Inc. serves local communities across the United States through journalism, content, and tools to help people navigate their daily lives. The Company is a producer of local news, producing more than 1,700 hours of news per week. Through its network affiliation and local sports rights agreements, it carries sports content, which includes professional and collegiate sports and the Olympics. It also owns multicast networks True Crime Network and Quest. Each television station has a digital presence across online, mobile, connected television, streaming and social platforms, reaching consumers on all devices and platforms they use to consume news content. It delivers results for advertisers across television, digital, connected TV (CTV) and streaming app platforms, including Premion, its streaming app and CTV advertising network. Premion and Gray Television, Inc. (Gray) are in a commercial arrangement under which Gray resells Premion services across all of Gray’s television markets.</v>
    <v>5500</v>
    <v>New York Stock Exchange</v>
    <v>XNYS</v>
    <v>XNYS</v>
    <v>8350 Broad Street, Suite 2000, MC LEAN, VA, 22102-5151 US</v>
    <v>20.34</v>
    <v>Media &amp; Publishing</v>
    <v>Stock</v>
    <v>46094.958333367969</v>
    <v>3</v>
    <v>20.149999999999999</v>
    <v>3286726310</v>
    <v>TEGNA INC.</v>
    <v>TEGNA INC.</v>
    <v>20.27</v>
    <v>9.6221999999999994</v>
    <v>20.21</v>
    <v>20.3</v>
    <v>20.3</v>
    <v>161907700</v>
    <v>TGNA</v>
    <v>TEGNA INC. (XNYS:TGNA)</v>
    <v>1746623</v>
    <v>2451106</v>
    <v>1972</v>
  </rv>
  <rv s="2">
    <v>4</v>
  </rv>
  <rv s="0">
    <v>https://www.bing.com/financeapi/forcetrigger?t=a23hqh&amp;q=ARCX%3aSPY&amp;form=skydnc</v>
    <v>Learn more on Bing</v>
  </rv>
  <rv s="4">
    <v>9</v>
    <v>State Street SPDR S&amp;P500 (ARCX:SPY)</v>
    <v>2</v>
    <v>10</v>
    <v>Finance</v>
    <v>11</v>
    <v>en-US</v>
    <v>a23hqh</v>
    <v>268435456</v>
    <v>1</v>
    <v>Powered by Refinitiv</v>
    <v>697.84</v>
    <v>481.8</v>
    <v>0.99870000000000003</v>
    <v>-3.77</v>
    <v>-5.6599999999999992E-3</v>
    <v>0.76</v>
    <v>1.1479999999999999E-3</v>
    <v>USD</v>
    <v>NYSE Arca</v>
    <v>ARCX</v>
    <v>8.9999999999999998E-4</v>
    <v>672.33500000000004</v>
    <v>ETF</v>
    <v>46094.999978240623</v>
    <v>6</v>
    <v>661.36</v>
    <v>698270243919.53003</v>
    <v>State Street SPDR S&amp;P500</v>
    <v>669.27</v>
    <v>666.06</v>
    <v>662.29</v>
    <v>663.05</v>
    <v>SPY</v>
    <v>State Street SPDR S&amp;P500 (ARCX:SPY)</v>
    <v>97200242</v>
    <v>81976649</v>
  </rv>
  <rv s="2">
    <v>7</v>
  </rv>
  <rv s="5">
    <fb>44256</fb>
    <v>12</v>
  </rv>
  <rv s="5">
    <fb>18.829999999999998</fb>
    <v>13</v>
  </rv>
  <rv s="5">
    <fb>396.33</fb>
    <v>13</v>
  </rv>
  <rv s="5">
    <fb>94.484399999999994</fb>
    <v>13</v>
  </rv>
  <rv s="5">
    <fb>44287</fb>
    <v>12</v>
  </rv>
  <rv s="5">
    <fb>20.059999999999999</fb>
    <v>13</v>
  </rv>
  <rv s="5">
    <fb>417.3</fb>
    <v>13</v>
  </rv>
  <rv s="5">
    <fb>95.484399999999994</fb>
    <v>13</v>
  </rv>
  <rv s="5">
    <fb>44317</fb>
    <v>12</v>
  </rv>
  <rv s="5">
    <fb>19.39</fb>
    <v>13</v>
  </rv>
  <rv s="5">
    <fb>420.04</fb>
    <v>13</v>
  </rv>
  <rv s="5">
    <fb>100.14060000000001</fb>
    <v>13</v>
  </rv>
  <rv s="5">
    <fb>44348</fb>
    <v>12</v>
  </rv>
  <rv s="5">
    <fb>18.760000000000002</fb>
    <v>13</v>
  </rv>
  <rv s="5">
    <fb>428.06</fb>
    <v>13</v>
  </rv>
  <rv s="5">
    <fb>101.4063</fb>
    <v>13</v>
  </rv>
  <rv s="5">
    <fb>44378</fb>
    <v>12</v>
  </rv>
  <rv s="5">
    <fb>17.72</fb>
    <v>13</v>
  </rv>
  <rv s="5">
    <fb>438.51</fb>
    <v>13</v>
  </rv>
  <rv s="5">
    <fb>103.67189999999999</fb>
    <v>13</v>
  </rv>
  <rv s="5">
    <fb>44409</fb>
    <v>12</v>
  </rv>
  <rv s="5">
    <fb>451.56</fb>
    <v>13</v>
  </rv>
  <rv s="5">
    <fb>99.406300000000002</fb>
    <v>13</v>
  </rv>
  <rv s="5">
    <fb>44440</fb>
    <v>12</v>
  </rv>
  <rv s="5">
    <fb>19.72</fb>
    <v>13</v>
  </rv>
  <rv s="5">
    <fb>429.14</fb>
    <v>13</v>
  </rv>
  <rv s="5">
    <fb>97.703100000000006</fb>
    <v>13</v>
  </rv>
  <rv s="5">
    <fb>44470</fb>
    <v>12</v>
  </rv>
  <rv s="5">
    <fb>19.66</fb>
    <v>13</v>
  </rv>
  <rv s="5">
    <fb>459.25</fb>
    <v>13</v>
  </rv>
  <rv s="5">
    <fb>97.078100000000006</fb>
    <v>13</v>
  </rv>
  <rv s="5">
    <fb>44501</fb>
    <v>12</v>
  </rv>
  <rv s="5">
    <fb>19.75</fb>
    <v>13</v>
  </rv>
  <rv s="5">
    <fb>455.56</fb>
    <v>13</v>
  </rv>
  <rv s="5">
    <fb>98.656300000000002</fb>
    <v>13</v>
  </rv>
  <rv s="5">
    <fb>44531</fb>
    <v>12</v>
  </rv>
  <rv s="5">
    <fb>18.559999999999999</fb>
    <v>13</v>
  </rv>
  <rv s="5">
    <fb>474.96</fb>
    <v>13</v>
  </rv>
  <rv s="5">
    <fb>98.75</fb>
    <v>13</v>
  </rv>
  <rv s="5">
    <fb>44562</fb>
    <v>12</v>
  </rv>
  <rv s="5">
    <fb>19.36</fb>
    <v>13</v>
  </rv>
  <rv s="5">
    <fb>449.91</fb>
    <v>13</v>
  </rv>
  <rv s="5">
    <fb>96.296899999999994</fb>
    <v>13</v>
  </rv>
  <rv s="5">
    <fb>44593</fb>
    <v>12</v>
  </rv>
  <rv s="5">
    <fb>22.92</fb>
    <v>13</v>
  </rv>
  <rv s="5">
    <fb>436.63</fb>
    <v>13</v>
  </rv>
  <rv s="5">
    <fb>99.75</fb>
    <v>13</v>
  </rv>
  <rv s="5">
    <fb>44621</fb>
    <v>12</v>
  </rv>
  <rv s="5">
    <fb>22.4</fb>
    <v>13</v>
  </rv>
  <rv s="5">
    <fb>451.64</fb>
    <v>13</v>
  </rv>
  <rv s="5">
    <fb>95.8125</fb>
    <v>13</v>
  </rv>
  <rv s="5">
    <fb>44652</fb>
    <v>12</v>
  </rv>
  <rv s="5">
    <fb>22.05</fb>
    <v>13</v>
  </rv>
  <rv s="5">
    <fb>412</fb>
    <v>13</v>
  </rv>
  <rv s="5">
    <fb>91.015600000000006</fb>
    <v>13</v>
  </rv>
  <rv s="5">
    <fb>44682</fb>
    <v>12</v>
  </rv>
  <rv s="5">
    <fb>21.9</fb>
    <v>13</v>
  </rv>
  <rv s="5">
    <fb>412.93</fb>
    <v>13</v>
  </rv>
  <rv s="5">
    <fb>100.0938</fb>
    <v>13</v>
  </rv>
  <rv s="5">
    <fb>44713</fb>
    <v>12</v>
  </rv>
  <rv s="5">
    <fb>20.97</fb>
    <v>13</v>
  </rv>
  <rv s="5">
    <fb>377.25</fb>
    <v>13</v>
  </rv>
  <rv s="5">
    <fb>98.796899999999994</fb>
    <v>13</v>
  </rv>
  <rv s="5">
    <fb>44743</fb>
    <v>12</v>
  </rv>
  <rv s="5">
    <fb>20.94</fb>
    <v>13</v>
  </rv>
  <rv s="5">
    <fb>411.99</fb>
    <v>13</v>
  </rv>
  <rv s="5">
    <fb>101.7813</fb>
    <v>13</v>
  </rv>
  <rv s="5">
    <fb>44774</fb>
    <v>12</v>
  </rv>
  <rv s="5">
    <fb>21.4</fb>
    <v>13</v>
  </rv>
  <rv s="5">
    <fb>395.18</fb>
    <v>13</v>
  </rv>
  <rv s="5">
    <fb>96.234399999999994</fb>
    <v>13</v>
  </rv>
  <rv s="5">
    <fb>44805</fb>
    <v>12</v>
  </rv>
  <rv s="5">
    <fb>20.68</fb>
    <v>13</v>
  </rv>
  <rv s="5">
    <fb>357.18</fb>
    <v>13</v>
  </rv>
  <rv s="5">
    <fb>91.203100000000006</fb>
    <v>13</v>
  </rv>
  <rv s="5">
    <fb>44835</fb>
    <v>12</v>
  </rv>
  <rv s="5">
    <fb>20.88</fb>
    <v>13</v>
  </rv>
  <rv s="5">
    <fb>386.21</fb>
    <v>13</v>
  </rv>
  <rv s="5">
    <fb>89.531300000000002</fb>
    <v>13</v>
  </rv>
  <rv s="5">
    <fb>44866</fb>
    <v>12</v>
  </rv>
  <rv s="5">
    <fb>19.739999999999998</fb>
    <v>13</v>
  </rv>
  <rv s="5">
    <fb>407.68</fb>
    <v>13</v>
  </rv>
  <rv s="5">
    <fb>103.1875</fb>
    <v>13</v>
  </rv>
  <rv s="5">
    <fb>44896</fb>
    <v>12</v>
  </rv>
  <rv s="5">
    <fb>21.19</fb>
    <v>13</v>
  </rv>
  <rv s="5">
    <fb>382.43</fb>
    <v>13</v>
  </rv>
  <rv s="5">
    <fb>102</fb>
    <v>13</v>
  </rv>
  <rv s="5">
    <fb>44927</fb>
    <v>12</v>
  </rv>
  <rv s="5">
    <fb>19.93</fb>
    <v>13</v>
  </rv>
  <rv s="5">
    <fb>406.48</fb>
    <v>13</v>
  </rv>
  <rv s="5">
    <fb>104.8438</fb>
    <v>13</v>
  </rv>
  <rv s="5">
    <fb>44958</fb>
    <v>12</v>
  </rv>
  <rv s="5">
    <fb>17.399999999999999</fb>
    <v>13</v>
  </rv>
  <rv s="5">
    <fb>396.26</fb>
    <v>13</v>
  </rv>
  <rv s="5">
    <fb>96.531300000000002</fb>
    <v>13</v>
  </rv>
  <rv s="5">
    <fb>44986</fb>
    <v>12</v>
  </rv>
  <rv s="5">
    <fb>16.91</fb>
    <v>13</v>
  </rv>
  <rv s="5">
    <fb>409.39</fb>
    <v>13</v>
  </rv>
  <rv s="5">
    <fb>100.2188</fb>
    <v>13</v>
  </rv>
  <rv s="5">
    <fb>45017</fb>
    <v>12</v>
  </rv>
  <rv s="5">
    <fb>17.100000000000001</fb>
    <v>13</v>
  </rv>
  <rv s="5">
    <fb>415.93</fb>
    <v>13</v>
  </rv>
  <rv s="5">
    <fb>100.42189999999999</fb>
    <v>13</v>
  </rv>
  <rv s="5">
    <fb>45047</fb>
    <v>12</v>
  </rv>
  <rv s="5">
    <fb>15.49</fb>
    <v>13</v>
  </rv>
  <rv s="5">
    <fb>417.85</fb>
    <v>13</v>
  </rv>
  <rv s="5">
    <fb>97.8125</fb>
    <v>13</v>
  </rv>
  <rv s="5">
    <fb>45078</fb>
    <v>12</v>
  </rv>
  <rv s="5">
    <fb>16.239999999999998</fb>
    <v>13</v>
  </rv>
  <rv s="5">
    <fb>443.28</fb>
    <v>13</v>
  </rv>
  <rv s="5">
    <fb>96.203100000000006</fb>
    <v>13</v>
  </rv>
  <rv s="5">
    <fb>45108</fb>
    <v>12</v>
  </rv>
  <rv s="5">
    <fb>16.899999999999999</fb>
    <v>13</v>
  </rv>
  <rv s="5">
    <fb>457.79</fb>
    <v>13</v>
  </rv>
  <rv s="5">
    <fb>95.25</fb>
    <v>13</v>
  </rv>
  <rv s="5">
    <fb>45139</fb>
    <v>12</v>
  </rv>
  <rv s="5">
    <fb>16.53</fb>
    <v>13</v>
  </rv>
  <rv s="5">
    <fb>450.35</fb>
    <v>13</v>
  </rv>
  <rv s="5">
    <fb>98.0625</fb>
    <v>13</v>
  </rv>
  <rv s="5">
    <fb>45170</fb>
    <v>12</v>
  </rv>
  <rv s="5">
    <fb>14.57</fb>
    <v>13</v>
  </rv>
  <rv s="5">
    <fb>427.48</fb>
    <v>13</v>
  </rv>
  <rv s="5">
    <fb>94.453100000000006</fb>
    <v>13</v>
  </rv>
  <rv s="5">
    <fb>45200</fb>
    <v>12</v>
  </rv>
  <rv s="5">
    <fb>14.51</fb>
    <v>13</v>
  </rv>
  <rv s="5">
    <fb>418.2</fb>
    <v>13</v>
  </rv>
  <rv s="5">
    <fb>91.890600000000006</fb>
    <v>13</v>
  </rv>
  <rv s="5">
    <fb>45231</fb>
    <v>12</v>
  </rv>
  <rv s="5">
    <fb>15.33</fb>
    <v>13</v>
  </rv>
  <rv s="5">
    <fb>456.4</fb>
    <v>13</v>
  </rv>
  <rv s="5">
    <fb>102.01560000000001</fb>
    <v>13</v>
  </rv>
  <rv s="5">
    <fb>45261</fb>
    <v>12</v>
  </rv>
  <rv s="5">
    <fb>15.3</fb>
    <v>13</v>
  </rv>
  <rv s="5">
    <fb>475.31</fb>
    <v>13</v>
  </rv>
  <rv s="5">
    <fb>105.1563</fb>
    <v>13</v>
  </rv>
  <rv s="5">
    <fb>45292</fb>
    <v>12</v>
  </rv>
  <rv s="5">
    <fb>15.59</fb>
    <v>13</v>
  </rv>
  <rv s="5">
    <fb>482.88</fb>
    <v>13</v>
  </rv>
  <rv s="5">
    <fb>103.6875</fb>
    <v>13</v>
  </rv>
  <rv s="5">
    <fb>45323</fb>
    <v>12</v>
  </rv>
  <rv s="5">
    <fb>14.01</fb>
    <v>13</v>
  </rv>
  <rv s="5">
    <fb>508.08</fb>
    <v>13</v>
  </rv>
  <rv s="5">
    <fb>97.875</fb>
    <v>13</v>
  </rv>
  <rv s="5">
    <fb>45352</fb>
    <v>12</v>
  </rv>
  <rv s="5">
    <fb>14.94</fb>
    <v>13</v>
  </rv>
  <rv s="5">
    <fb>523.07000000000005</fb>
    <v>13</v>
  </rv>
  <rv s="5">
    <fb>98.468800000000002</fb>
    <v>13</v>
  </rv>
  <rv s="5">
    <fb>45383</fb>
    <v>12</v>
  </rv>
  <rv s="5">
    <fb>13.64</fb>
    <v>13</v>
  </rv>
  <rv s="5">
    <fb>501.98</fb>
    <v>13</v>
  </rv>
  <rv s="5">
    <fb>94.6875</fb>
    <v>13</v>
  </rv>
  <rv s="5">
    <fb>45413</fb>
    <v>12</v>
  </rv>
  <rv s="5">
    <fb>14.91</fb>
    <v>13</v>
  </rv>
  <rv s="5">
    <fb>527.37</fb>
    <v>13</v>
  </rv>
  <rv s="5">
    <fb>98.984399999999994</fb>
    <v>13</v>
  </rv>
  <rv s="5">
    <fb>45444</fb>
    <v>12</v>
  </rv>
  <rv s="5">
    <fb>13.94</fb>
    <v>13</v>
  </rv>
  <rv s="5">
    <fb>544.22</fb>
    <v>13</v>
  </rv>
  <rv s="5">
    <fb>99.671899999999994</fb>
    <v>13</v>
  </rv>
  <rv s="5">
    <fb>45474</fb>
    <v>12</v>
  </rv>
  <rv s="5">
    <fb>15.93</fb>
    <v>13</v>
  </rv>
  <rv s="5">
    <fb>550.80999999999995</fb>
    <v>13</v>
  </rv>
  <rv s="5">
    <fb>102.5313</fb>
    <v>13</v>
  </rv>
  <rv s="5">
    <fb>45505</fb>
    <v>12</v>
  </rv>
  <rv s="5">
    <fb>13.88</fb>
    <v>13</v>
  </rv>
  <rv s="5">
    <fb>563.67999999999995</fb>
    <v>13</v>
  </rv>
  <rv s="5">
    <fb>99.718800000000002</fb>
    <v>13</v>
  </rv>
  <rv s="5">
    <fb>45536</fb>
    <v>12</v>
  </rv>
  <rv s="5">
    <fb>15.78</fb>
    <v>13</v>
  </rv>
  <rv s="5">
    <fb>573.76</fb>
    <v>13</v>
  </rv>
  <rv s="5">
    <fb>100.79689999999999</fb>
    <v>13</v>
  </rv>
  <rv s="5">
    <fb>45566</fb>
    <v>12</v>
  </rv>
  <rv s="5">
    <fb>16.43</fb>
    <v>13</v>
  </rv>
  <rv s="5">
    <fb>568.64</fb>
    <v>13</v>
  </rv>
  <rv s="5">
    <fb>96.718800000000002</fb>
    <v>13</v>
  </rv>
  <rv s="5">
    <fb>45597</fb>
    <v>12</v>
  </rv>
  <rv s="5">
    <fb>18.77</fb>
    <v>13</v>
  </rv>
  <rv s="5">
    <fb>602.54999999999995</fb>
    <v>13</v>
  </rv>
  <rv s="5">
    <fb>100.57810000000001</fb>
    <v>13</v>
  </rv>
  <rv s="5">
    <fb>45627</fb>
    <v>12</v>
  </rv>
  <rv s="5">
    <fb>18.29</fb>
    <v>13</v>
  </rv>
  <rv s="5">
    <fb>586.08000000000004</fb>
    <v>13</v>
  </rv>
  <rv s="5">
    <fb>97.453100000000006</fb>
    <v>13</v>
  </rv>
  <rv s="5">
    <fb>45658</fb>
    <v>12</v>
  </rv>
  <rv s="5">
    <fb>18.22</fb>
    <v>13</v>
  </rv>
  <rv s="5">
    <fb>601.82000000000005</fb>
    <v>13</v>
  </rv>
  <rv s="5">
    <fb>45689</fb>
    <v>12</v>
  </rv>
  <rv s="5">
    <fb>18.2</fb>
    <v>13</v>
  </rv>
  <rv s="5">
    <fb>594.17999999999995</fb>
    <v>13</v>
  </rv>
  <rv s="5">
    <fb>103.4063</fb>
    <v>13</v>
  </rv>
  <rv s="5">
    <fb>45717</fb>
    <v>12</v>
  </rv>
  <rv s="5">
    <fb>559.39</fb>
    <v>13</v>
  </rv>
  <rv s="5">
    <fb>103.32810000000001</fb>
    <v>13</v>
  </rv>
  <rv s="5">
    <fb>45748</fb>
    <v>12</v>
  </rv>
  <rv s="5">
    <fb>16.23</fb>
    <v>13</v>
  </rv>
  <rv s="5">
    <fb>554.54</fb>
    <v>13</v>
  </rv>
  <rv s="5">
    <fb>103.5313</fb>
    <v>13</v>
  </rv>
  <rv s="5">
    <fb>45778</fb>
    <v>12</v>
  </rv>
  <rv s="5">
    <fb>16.72</fb>
    <v>13</v>
  </rv>
  <rv s="5">
    <fb>589.39</fb>
    <v>13</v>
  </rv>
  <rv s="5">
    <fb>98.8125</fb>
    <v>13</v>
  </rv>
  <rv s="5">
    <fb>45809</fb>
    <v>12</v>
  </rv>
  <rv s="5">
    <fb>16.760000000000002</fb>
    <v>13</v>
  </rv>
  <rv s="5">
    <fb>617.85</fb>
    <v>13</v>
  </rv>
  <rv s="5">
    <fb>45839</fb>
    <v>12</v>
  </rv>
  <rv s="5">
    <fb>16.7</fb>
    <v>13</v>
  </rv>
  <rv s="5">
    <fb>632.08000000000004</fb>
    <v>13</v>
  </rv>
  <rv s="5">
    <fb>98.953100000000006</fb>
    <v>13</v>
  </rv>
  <rv s="5">
    <fb>45870</fb>
    <v>12</v>
  </rv>
  <rv s="5">
    <fb>21.2</fb>
    <v>13</v>
  </rv>
  <rv s="5">
    <fb>645.04999999999995</fb>
    <v>13</v>
  </rv>
  <rv s="5">
    <fb>45901</fb>
    <v>12</v>
  </rv>
  <rv s="5">
    <fb>20.329999999999998</fb>
    <v>13</v>
  </rv>
  <rv s="5">
    <fb>666.18</fb>
    <v>13</v>
  </rv>
  <rv s="5">
    <fb>100.75</fb>
    <v>13</v>
  </rv>
  <rv s="5">
    <fb>45931</fb>
    <v>12</v>
  </rv>
  <rv s="5">
    <fb>19.670000000000002</fb>
    <v>13</v>
  </rv>
  <rv s="5">
    <fb>682.06</fb>
    <v>13</v>
  </rv>
  <rv s="5">
    <fb>101.32810000000001</fb>
    <v>13</v>
  </rv>
  <rv s="5">
    <fb>45962</fb>
    <v>12</v>
  </rv>
  <rv s="5">
    <fb>19.52</fb>
    <v>13</v>
  </rv>
  <rv s="5">
    <fb>683.39</fb>
    <v>13</v>
  </rv>
  <rv s="5">
    <fb>99.859399999999994</fb>
    <v>13</v>
  </rv>
  <rv s="5">
    <fb>45992</fb>
    <v>12</v>
  </rv>
  <rv s="5">
    <fb>19.41</fb>
    <v>13</v>
  </rv>
  <rv s="5">
    <fb>681.92</fb>
    <v>13</v>
  </rv>
  <rv s="5">
    <fb>98.6875</fb>
    <v>13</v>
  </rv>
  <rv s="5">
    <fb>46023</fb>
    <v>12</v>
  </rv>
  <rv s="5">
    <fb>19.16</fb>
    <v>13</v>
  </rv>
  <rv s="5">
    <fb>691.97</fb>
    <v>13</v>
  </rv>
  <rv s="5">
    <fb>98.078100000000006</fb>
    <v>13</v>
  </rv>
  <rv s="5">
    <fb>46054</fb>
    <v>12</v>
  </rv>
  <rv s="5">
    <fb>20.95</fb>
    <v>13</v>
  </rv>
  <rv s="5">
    <fb>685.99</fb>
    <v>13</v>
  </rv>
  <rv s="5">
    <fb>101.4375</fb>
    <v>13</v>
  </rv>
  <rv s="5">
    <fb>46082</fb>
    <v>12</v>
  </rv>
  <rv s="5">
    <fb>20.3</fb>
    <v>13</v>
  </rv>
  <rv s="5">
    <fb>662.29</fb>
    <v>13</v>
  </rv>
  <rv s="5">
    <fb>98.734399999999994</fb>
    <v>13</v>
  </rv>
  <rv s="0">
    <v>https://www.bing.com/financeapi/forcetrigger?t=a1nhlh&amp;q=XNAS%3aAMZN&amp;form=skydnc</v>
    <v>Learn more on Bing</v>
  </rv>
  <rv s="3">
    <v>5</v>
    <v>AMAZON.COM, INC. (XNAS:AMZN)</v>
    <v>6</v>
    <v>7</v>
    <v>Finance</v>
    <v>8</v>
    <v>en-US</v>
    <v>a1nhlh</v>
    <v>268435456</v>
    <v>1</v>
    <v>Powered by Refinitiv</v>
    <v>258.60000000000002</v>
    <v>161.38</v>
    <v>1.4017999999999999</v>
    <v>-1.86</v>
    <v>-8.8770000000000012E-3</v>
    <v>-0.37</v>
    <v>-1.7819999999999999E-3</v>
    <v>USD</v>
    <v>Amazon.com, Inc. provides a range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1576000</v>
    <v>Nasdaq Stock Market</v>
    <v>XNAS</v>
    <v>XNAS</v>
    <v>410 Terry Avenue North, SEATTLE, WA, 98109 US</v>
    <v>210.56</v>
    <v>Diversified Retail</v>
    <v>Stock</v>
    <v>46094.999923680465</v>
    <v>248</v>
    <v>206.22</v>
    <v>2229320836400</v>
    <v>AMAZON.COM, INC.</v>
    <v>AMAZON.COM, INC.</v>
    <v>209.60499999999999</v>
    <v>29.213999999999999</v>
    <v>209.53</v>
    <v>207.67</v>
    <v>207.3</v>
    <v>10734920000</v>
    <v>AMZN</v>
    <v>AMAZON.COM, INC. (XNAS:AMZN)</v>
    <v>35662137</v>
    <v>61819122</v>
    <v>1996</v>
  </rv>
  <rv s="2">
    <v>249</v>
  </rv>
  <rv s="5">
    <fb>154.70400000000001</fb>
    <v>13</v>
  </rv>
  <rv s="5">
    <fb>173.37100000000001</fb>
    <v>13</v>
  </rv>
  <rv s="5">
    <fb>161.15350000000001</fb>
    <v>13</v>
  </rv>
  <rv s="5">
    <fb>172.00800000000001</fb>
    <v>13</v>
  </rv>
  <rv s="5">
    <fb>166.37950000000001</fb>
    <v>13</v>
  </rv>
  <rv s="5">
    <fb>173.5395</fb>
    <v>13</v>
  </rv>
  <rv s="5">
    <fb>164.25200000000001</fb>
    <v>13</v>
  </rv>
  <rv s="5">
    <fb>168.6215</fb>
    <v>13</v>
  </rv>
  <rv s="5">
    <fb>175.3535</fb>
    <v>13</v>
  </rv>
  <rv s="5">
    <fb>166.71700000000001</fb>
    <v>13</v>
  </rv>
  <rv s="5">
    <fb>149.5735</fb>
    <v>13</v>
  </rv>
  <rv s="5">
    <fb>153.56299999999999</fb>
    <v>13</v>
  </rv>
  <rv s="5">
    <fb>162.9975</fb>
    <v>13</v>
  </rv>
  <rv s="5">
    <fb>124.28149999999999</fb>
    <v>13</v>
  </rv>
  <rv s="5">
    <fb>120.20950000000001</fb>
    <v>13</v>
  </rv>
  <rv s="5">
    <fb>106.21</fb>
    <v>13</v>
  </rv>
  <rv s="5">
    <fb>134.94999999999999</fb>
    <v>13</v>
  </rv>
  <rv s="5">
    <fb>126.77</fb>
    <v>13</v>
  </rv>
  <rv s="5">
    <fb>113</fb>
    <v>13</v>
  </rv>
  <rv s="5">
    <fb>102.44</fb>
    <v>13</v>
  </rv>
  <rv s="5">
    <fb>96.54</fb>
    <v>13</v>
  </rv>
  <rv s="5">
    <fb>84</fb>
    <v>13</v>
  </rv>
  <rv s="5">
    <fb>103.13</fb>
    <v>13</v>
  </rv>
  <rv s="5">
    <fb>94.23</fb>
    <v>13</v>
  </rv>
  <rv s="5">
    <fb>103.29</fb>
    <v>13</v>
  </rv>
  <rv s="5">
    <fb>105.45</fb>
    <v>13</v>
  </rv>
  <rv s="5">
    <fb>120.58</fb>
    <v>13</v>
  </rv>
  <rv s="5">
    <fb>130.36000000000001</fb>
    <v>13</v>
  </rv>
  <rv s="5">
    <fb>133.68</fb>
    <v>13</v>
  </rv>
  <rv s="5">
    <fb>138.01</fb>
    <v>13</v>
  </rv>
  <rv s="5">
    <fb>127.12</fb>
    <v>13</v>
  </rv>
  <rv s="5">
    <fb>133.09</fb>
    <v>13</v>
  </rv>
  <rv s="5">
    <fb>146.09</fb>
    <v>13</v>
  </rv>
  <rv s="5">
    <fb>151.94</fb>
    <v>13</v>
  </rv>
  <rv s="5">
    <fb>155.19999999999999</fb>
    <v>13</v>
  </rv>
  <rv s="5">
    <fb>176.76</fb>
    <v>13</v>
  </rv>
  <rv s="5">
    <fb>180.38</fb>
    <v>13</v>
  </rv>
  <rv s="5">
    <fb>175</fb>
    <v>13</v>
  </rv>
  <rv s="5">
    <fb>176.44</fb>
    <v>13</v>
  </rv>
  <rv s="5">
    <fb>193.25</fb>
    <v>13</v>
  </rv>
  <rv s="5">
    <fb>186.98</fb>
    <v>13</v>
  </rv>
  <rv s="5">
    <fb>178.5</fb>
    <v>13</v>
  </rv>
  <rv s="5">
    <fb>186.33</fb>
    <v>13</v>
  </rv>
  <rv s="5">
    <fb>186.4</fb>
    <v>13</v>
  </rv>
  <rv s="5">
    <fb>207.89</fb>
    <v>13</v>
  </rv>
  <rv s="5">
    <fb>219.39</fb>
    <v>13</v>
  </rv>
  <rv s="5">
    <fb>237.68</fb>
    <v>13</v>
  </rv>
  <rv s="5">
    <fb>212.28</fb>
    <v>13</v>
  </rv>
  <rv s="5">
    <fb>190.26</fb>
    <v>13</v>
  </rv>
  <rv s="5">
    <fb>184.42</fb>
    <v>13</v>
  </rv>
  <rv s="5">
    <fb>205.01</fb>
    <v>13</v>
  </rv>
  <rv s="5">
    <fb>234.11</fb>
    <v>13</v>
  </rv>
  <rv s="5">
    <fb>229</fb>
    <v>13</v>
  </rv>
  <rv s="5">
    <fb>219.57</fb>
    <v>13</v>
  </rv>
  <rv s="5">
    <fb>244.22</fb>
    <v>13</v>
  </rv>
  <rv s="5">
    <fb>233.22</fb>
    <v>13</v>
  </rv>
  <rv s="5">
    <fb>230.82</fb>
    <v>13</v>
  </rv>
  <rv s="5">
    <fb>239.3</fb>
    <v>13</v>
  </rv>
  <rv s="5">
    <fb>210</fb>
    <v>13</v>
  </rv>
  <rv s="5">
    <fb>207.67</fb>
    <v>13</v>
  </rv>
  <rv s="0">
    <v>https://www.bing.com/financeapi/forcetrigger?t=a1q6k2&amp;q=XNAS%3aCOST&amp;form=skydnc</v>
    <v>Learn more on Bing</v>
  </rv>
  <rv s="3">
    <v>5</v>
    <v>COSTCO WHOLESALE CORPORATION (XNAS:COST)</v>
    <v>6</v>
    <v>7</v>
    <v>Finance</v>
    <v>8</v>
    <v>en-US</v>
    <v>a1q6k2</v>
    <v>268435456</v>
    <v>1</v>
    <v>Powered by Refinitiv</v>
    <v>1067.08</v>
    <v>844.06</v>
    <v>0.99080000000000001</v>
    <v>5.1100000000000003</v>
    <v>5.0929999999999994E-3</v>
    <v>-0.93</v>
    <v>-9.2219999999999997E-4</v>
    <v>USD</v>
    <v>Costco Wholesale Corporation (Costco) operates membership warehouses and e-commerce sites that offer a selection of nationally branded and private-label products in a wide range of categories. The Company buys the majority of its merchandise directly from suppliers and route it to cross-docking consolidation points (depots) or directly to its warehouses. It operates 891 warehouses, including 614 in the United States and Puerto Rico, 108 in Canada, 40 in Mexico, 35 in Japan, 29 in the United Kingdom, 19 in Korea, 15 in Australia, 14 in Taiwan, seven in China, five in Spain, two in France, and one each in Iceland, New Zealand and Sweden. It also operates e-commerce sites in the United States, Canada, the United Kingdom, Mexico, Korea, Taiwan, Japan and Australia. The Company provides wide selection of merchandise, plus the convenience of specialty departments and exclusive member services.</v>
    <v>341000</v>
    <v>Nasdaq Stock Market</v>
    <v>XNAS</v>
    <v>XNAS</v>
    <v>999 Lake Dr, ISSAQUAH, WA, 98027- US</v>
    <v>1012.83</v>
    <v>Diversified Retail</v>
    <v>Stock</v>
    <v>46094.999988147654</v>
    <v>311</v>
    <v>1002</v>
    <v>447392490575</v>
    <v>COSTCO WHOLESALE CORPORATION</v>
    <v>COSTCO WHOLESALE CORPORATION</v>
    <v>1005.9</v>
    <v>54.018599999999999</v>
    <v>1003.32</v>
    <v>1008.43</v>
    <v>1007.5</v>
    <v>443652500</v>
    <v>COST</v>
    <v>COSTCO WHOLESALE CORPORATION (XNAS:COST)</v>
    <v>1469672</v>
    <v>2081377</v>
    <v>1987</v>
  </rv>
  <rv s="2">
    <v>312</v>
  </rv>
  <rv s="5">
    <fb>352.48</fb>
    <v>13</v>
  </rv>
  <rv s="5">
    <fb>372.09</fb>
    <v>13</v>
  </rv>
  <rv s="5">
    <fb>378.27</fb>
    <v>13</v>
  </rv>
  <rv s="5">
    <fb>395.67</fb>
    <v>13</v>
  </rv>
  <rv s="5">
    <fb>429.72</fb>
    <v>13</v>
  </rv>
  <rv s="5">
    <fb>455.49</fb>
    <v>13</v>
  </rv>
  <rv s="5">
    <fb>449.35</fb>
    <v>13</v>
  </rv>
  <rv s="5">
    <fb>491.54</fb>
    <v>13</v>
  </rv>
  <rv s="5">
    <fb>539.38</fb>
    <v>13</v>
  </rv>
  <rv s="5">
    <fb>567.70000000000005</fb>
    <v>13</v>
  </rv>
  <rv s="5">
    <fb>505.13</fb>
    <v>13</v>
  </rv>
  <rv s="5">
    <fb>519.25</fb>
    <v>13</v>
  </rv>
  <rv s="5">
    <fb>575.85</fb>
    <v>13</v>
  </rv>
  <rv s="5">
    <fb>531.72</fb>
    <v>13</v>
  </rv>
  <rv s="5">
    <fb>466.22</fb>
    <v>13</v>
  </rv>
  <rv s="5">
    <fb>479.28</fb>
    <v>13</v>
  </rv>
  <rv s="5">
    <fb>541.29999999999995</fb>
    <v>13</v>
  </rv>
  <rv s="5">
    <fb>522.1</fb>
    <v>13</v>
  </rv>
  <rv s="5">
    <fb>472.27</fb>
    <v>13</v>
  </rv>
  <rv s="5">
    <fb>501.5</fb>
    <v>13</v>
  </rv>
  <rv s="5">
    <fb>539.25</fb>
    <v>13</v>
  </rv>
  <rv s="5">
    <fb>456.5</fb>
    <v>13</v>
  </rv>
  <rv s="5">
    <fb>511.14</fb>
    <v>13</v>
  </rv>
  <rv s="5">
    <fb>484.18</fb>
    <v>13</v>
  </rv>
  <rv s="5">
    <fb>496.87</fb>
    <v>13</v>
  </rv>
  <rv s="5">
    <fb>503.22</fb>
    <v>13</v>
  </rv>
  <rv s="5">
    <fb>511.56</fb>
    <v>13</v>
  </rv>
  <rv s="5">
    <fb>538.38</fb>
    <v>13</v>
  </rv>
  <rv s="5">
    <fb>560.66999999999996</fb>
    <v>13</v>
  </rv>
  <rv s="5">
    <fb>549.28</fb>
    <v>13</v>
  </rv>
  <rv s="5">
    <fb>564.96</fb>
    <v>13</v>
  </rv>
  <rv s="5">
    <fb>552.44000000000005</fb>
    <v>13</v>
  </rv>
  <rv s="5">
    <fb>592.74</fb>
    <v>13</v>
  </rv>
  <rv s="5">
    <fb>660.08</fb>
    <v>13</v>
  </rv>
  <rv s="5">
    <fb>694.88</fb>
    <v>13</v>
  </rv>
  <rv s="5">
    <fb>743.89</fb>
    <v>13</v>
  </rv>
  <rv s="5">
    <fb>732.63</fb>
    <v>13</v>
  </rv>
  <rv s="5">
    <fb>722.9</fb>
    <v>13</v>
  </rv>
  <rv s="5">
    <fb>809.89</fb>
    <v>13</v>
  </rv>
  <rv s="5">
    <fb>849.99</fb>
    <v>13</v>
  </rv>
  <rv s="5">
    <fb>822</fb>
    <v>13</v>
  </rv>
  <rv s="5">
    <fb>892.38</fb>
    <v>13</v>
  </rv>
  <rv s="5">
    <fb>886.52</fb>
    <v>13</v>
  </rv>
  <rv s="5">
    <fb>874.18</fb>
    <v>13</v>
  </rv>
  <rv s="5">
    <fb>971.88</fb>
    <v>13</v>
  </rv>
  <rv s="5">
    <fb>916.27</fb>
    <v>13</v>
  </rv>
  <rv s="5">
    <fb>979.88</fb>
    <v>13</v>
  </rv>
  <rv s="5">
    <fb>1048.6099999999999</fb>
    <v>13</v>
  </rv>
  <rv s="5">
    <fb>945.78</fb>
    <v>13</v>
  </rv>
  <rv s="5">
    <fb>994.5</fb>
    <v>13</v>
  </rv>
  <rv s="5">
    <fb>1040.18</fb>
    <v>13</v>
  </rv>
  <rv s="5">
    <fb>989.94</fb>
    <v>13</v>
  </rv>
  <rv s="5">
    <fb>939.64</fb>
    <v>13</v>
  </rv>
  <rv s="5">
    <fb>943.32</fb>
    <v>13</v>
  </rv>
  <rv s="5">
    <fb>925.63</fb>
    <v>13</v>
  </rv>
  <rv s="5">
    <fb>911.45</fb>
    <v>13</v>
  </rv>
  <rv s="5">
    <fb>913.59</fb>
    <v>13</v>
  </rv>
  <rv s="5">
    <fb>862.34</fb>
    <v>13</v>
  </rv>
  <rv s="5">
    <fb>940.25</fb>
    <v>13</v>
  </rv>
  <rv s="5">
    <fb>1010.79</fb>
    <v>13</v>
  </rv>
  <rv s="5">
    <fb>1008.43</fb>
    <v>13</v>
  </rv>
  <rv s="0">
    <v>http://en.wikipedia.org/wiki/Public_domain</v>
    <v>Public domain</v>
  </rv>
  <rv s="0">
    <v>https://en.wikipedia.org/wiki/Microsoft</v>
    <v>Wikipedia</v>
  </rv>
  <rv s="6">
    <v>375</v>
    <v>376</v>
  </rv>
  <rv s="7">
    <v>18</v>
    <v>https://www.bing.com/th?id=AMMS_e6e837c7bf3a77408619758b7447855a&amp;qlt=95</v>
    <v>377</v>
    <v>0</v>
    <v>https://www.bing.com/images/search?form=xlimg&amp;q=microsoft</v>
    <v>Image of MICROSOFT CORPORATION</v>
  </rv>
  <rv s="0">
    <v>https://www.bing.com/financeapi/forcetrigger?t=a1xzim&amp;q=XNAS%3aMSFT&amp;form=skydnc</v>
    <v>Learn more on Bing</v>
  </rv>
  <rv s="8">
    <v>14</v>
    <v>MICROSOFT CORPORATION (XNAS:MSFT)</v>
    <v>16</v>
    <v>17</v>
    <v>Finance</v>
    <v>8</v>
    <v>en-US</v>
    <v>a1xzim</v>
    <v>268435456</v>
    <v>1</v>
    <v>Powered by Refinitiv</v>
    <v>555.45000000000005</v>
    <v>344.79</v>
    <v>1.0883</v>
    <v>-6.31</v>
    <v>-1.5702000000000001E-2</v>
    <v>-0.45</v>
    <v>-1.1379999999999999E-3</v>
    <v>USD</v>
    <v>Microsoft Corporation is a technology company. The Company develops and supports software, services, devices, and solutions. The Company’s segments include Productivity and Business Processes, Intelligent Cloud, and More Personal Computing. The Productivity and Business Processes segment consists of products and services in its portfolio of productivity, communication, and information services. This segment primarily comprises: Office Commercial, Office Consumer, LinkedIn, and Dynamics business solutions. The Intelligent Cloud segment consists of server products and cloud services, including Azure and other cloud services, SQL Server, Windows Server, Visual Studio, System Center, and related Client Access Licenses (CALs), and Nuance and GitHub; and Enterprise Services, including enterprise support services, industry solutions and Nuance professional services. The More Personal Computing segment primarily comprises Windows, Devices, Gaming, and search and news advertising.</v>
    <v>228000</v>
    <v>Nasdaq Stock Market</v>
    <v>XNAS</v>
    <v>XNAS</v>
    <v>One Microsoft Way, REDMOND, WA, 98052 US</v>
    <v>404.8</v>
    <v>378</v>
    <v>Software &amp; IT Services</v>
    <v>Stock</v>
    <v>46094.999960902343</v>
    <v>379</v>
    <v>394.25</v>
    <v>2937207550950</v>
    <v>MICROSOFT CORPORATION</v>
    <v>MICROSOFT CORPORATION</v>
    <v>401</v>
    <v>24.749099999999999</v>
    <v>401.86</v>
    <v>395.55</v>
    <v>395.1</v>
    <v>7425629000</v>
    <v>MSFT</v>
    <v>MICROSOFT CORPORATION (XNAS:MSFT)</v>
    <v>26848000</v>
    <v>37832893</v>
    <v>1993</v>
  </rv>
  <rv s="2">
    <v>380</v>
  </rv>
  <rv s="5">
    <fb>235.77</fb>
    <v>13</v>
  </rv>
  <rv s="5">
    <fb>252.18</fb>
    <v>13</v>
  </rv>
  <rv s="5">
    <fb>249.68</fb>
    <v>13</v>
  </rv>
  <rv s="5">
    <fb>270.89999999999998</fb>
    <v>13</v>
  </rv>
  <rv s="5">
    <fb>284.91000000000003</fb>
    <v>13</v>
  </rv>
  <rv s="5">
    <fb>301.88</fb>
    <v>13</v>
  </rv>
  <rv s="5">
    <fb>281.92</fb>
    <v>13</v>
  </rv>
  <rv s="5">
    <fb>331.62</fb>
    <v>13</v>
  </rv>
  <rv s="5">
    <fb>330.59</fb>
    <v>13</v>
  </rv>
  <rv s="5">
    <fb>336.32</fb>
    <v>13</v>
  </rv>
  <rv s="5">
    <fb>310.98</fb>
    <v>13</v>
  </rv>
  <rv s="5">
    <fb>298.79000000000002</fb>
    <v>13</v>
  </rv>
  <rv s="5">
    <fb>308.31</fb>
    <v>13</v>
  </rv>
  <rv s="5">
    <fb>277.52</fb>
    <v>13</v>
  </rv>
  <rv s="5">
    <fb>271.87</fb>
    <v>13</v>
  </rv>
  <rv s="5">
    <fb>256.83</fb>
    <v>13</v>
  </rv>
  <rv s="5">
    <fb>280.74</fb>
    <v>13</v>
  </rv>
  <rv s="5">
    <fb>261.47000000000003</fb>
    <v>13</v>
  </rv>
  <rv s="5">
    <fb>232.9</fb>
    <v>13</v>
  </rv>
  <rv s="5">
    <fb>232.13</fb>
    <v>13</v>
  </rv>
  <rv s="5">
    <fb>255.14</fb>
    <v>13</v>
  </rv>
  <rv s="5">
    <fb>239.82</fb>
    <v>13</v>
  </rv>
  <rv s="5">
    <fb>247.81</fb>
    <v>13</v>
  </rv>
  <rv s="5">
    <fb>249.42</fb>
    <v>13</v>
  </rv>
  <rv s="5">
    <fb>288.3</fb>
    <v>13</v>
  </rv>
  <rv s="5">
    <fb>307.26</fb>
    <v>13</v>
  </rv>
  <rv s="5">
    <fb>328.39</fb>
    <v>13</v>
  </rv>
  <rv s="5">
    <fb>340.54</fb>
    <v>13</v>
  </rv>
  <rv s="5">
    <fb>335.92</fb>
    <v>13</v>
  </rv>
  <rv s="5">
    <fb>327.76</fb>
    <v>13</v>
  </rv>
  <rv s="5">
    <fb>315.75</fb>
    <v>13</v>
  </rv>
  <rv s="5">
    <fb>338.11</fb>
    <v>13</v>
  </rv>
  <rv s="5">
    <fb>378.91</fb>
    <v>13</v>
  </rv>
  <rv s="5">
    <fb>376.04</fb>
    <v>13</v>
  </rv>
  <rv s="5">
    <fb>397.58</fb>
    <v>13</v>
  </rv>
  <rv s="5">
    <fb>413.64</fb>
    <v>13</v>
  </rv>
  <rv s="5">
    <fb>420.72</fb>
    <v>13</v>
  </rv>
  <rv s="5">
    <fb>389.33</fb>
    <v>13</v>
  </rv>
  <rv s="5">
    <fb>415.13</fb>
    <v>13</v>
  </rv>
  <rv s="5">
    <fb>446.95</fb>
    <v>13</v>
  </rv>
  <rv s="5">
    <fb>418.35</fb>
    <v>13</v>
  </rv>
  <rv s="5">
    <fb>417.14</fb>
    <v>13</v>
  </rv>
  <rv s="5">
    <fb>430.3</fb>
    <v>13</v>
  </rv>
  <rv s="5">
    <fb>406.35</fb>
    <v>13</v>
  </rv>
  <rv s="5">
    <fb>423.46</fb>
    <v>13</v>
  </rv>
  <rv s="5">
    <fb>421.5</fb>
    <v>13</v>
  </rv>
  <rv s="5">
    <fb>415.06</fb>
    <v>13</v>
  </rv>
  <rv s="5">
    <fb>396.99</fb>
    <v>13</v>
  </rv>
  <rv s="5">
    <fb>375.39</fb>
    <v>13</v>
  </rv>
  <rv s="5">
    <fb>395.26</fb>
    <v>13</v>
  </rv>
  <rv s="5">
    <fb>460.36</fb>
    <v>13</v>
  </rv>
  <rv s="5">
    <fb>497.41</fb>
    <v>13</v>
  </rv>
  <rv s="5">
    <fb>533.5</fb>
    <v>13</v>
  </rv>
  <rv s="5">
    <fb>506.69</fb>
    <v>13</v>
  </rv>
  <rv s="5">
    <fb>517.95000000000005</fb>
    <v>13</v>
  </rv>
  <rv s="5">
    <fb>517.80999999999995</fb>
    <v>13</v>
  </rv>
  <rv s="5">
    <fb>492.01</fb>
    <v>13</v>
  </rv>
  <rv s="5">
    <fb>483.62</fb>
    <v>13</v>
  </rv>
  <rv s="5">
    <fb>430.29</fb>
    <v>13</v>
  </rv>
  <rv s="5">
    <fb>392.74</fb>
    <v>13</v>
  </rv>
  <rv s="5">
    <fb>395.55</fb>
    <v>13</v>
  </rv>
  <rv s="0">
    <v>http://pt.wikipedia.org/wiki/Oracle_Corporation</v>
    <v>Wikipedia</v>
  </rv>
  <rv s="6">
    <v>375</v>
    <v>443</v>
  </rv>
  <rv s="7">
    <v>18</v>
    <v>https://www.bing.com/th?id=AMMS_672116c618c664d13b2515d6587ba357&amp;qlt=95</v>
    <v>444</v>
    <v>0</v>
    <v>https://www.bing.com/images/search?form=xlimg&amp;q=oracle+corporation</v>
    <v>Image of ORACLE CORPORATION</v>
  </rv>
  <rv s="0">
    <v>https://www.bing.com/financeapi/forcetrigger?t=a1zbec&amp;q=XNYS%3aORCL&amp;form=skydnc</v>
    <v>Learn more on Bing</v>
  </rv>
  <rv s="8">
    <v>14</v>
    <v>ORACLE CORPORATION (XNYS:ORCL)</v>
    <v>16</v>
    <v>17</v>
    <v>Finance</v>
    <v>8</v>
    <v>en-US</v>
    <v>a1zbec</v>
    <v>268435456</v>
    <v>1</v>
    <v>Powered by Refinitiv</v>
    <v>345.72</v>
    <v>118.86</v>
    <v>1.597</v>
    <v>-4.05</v>
    <v>-2.5446E-2</v>
    <v>-0.77259999999999995</v>
    <v>-4.9810000000000002E-3</v>
    <v>USD</v>
    <v>Oracle Corporation offers integrated suites of applications plus secure, autonomous infrastructure in the Oracle Cloud. The Company operates through three businesses: cloud and license, hardware and service. Its cloud and license business is engaged in the sale, marketing and delivery of its enterprise applications and infrastructure technologies through cloud and on-premise deployment models including its cloud services and license support offerings, and its cloud license and on-premise license offerings. Its hardware business provides infrastructure technologies including Oracle Engineered Systems, servers, storage, industry-specific hardware, operating systems, virtualization, management and other hardware-related software to support diverse IT environments. Its services business provides services to customers and partners to help maximize the performance of their investments in Oracle applications and infrastructure technologies.</v>
    <v>162000</v>
    <v>New York Stock Exchange</v>
    <v>XNYS</v>
    <v>XNYS</v>
    <v>2300 Oracle Way, AUSTIN, TX, 78741 US</v>
    <v>160.77000000000001</v>
    <v>445</v>
    <v>Software &amp; IT Services</v>
    <v>Stock</v>
    <v>46094.999992673438</v>
    <v>446</v>
    <v>154.15</v>
    <v>446103495060</v>
    <v>ORACLE CORPORATION</v>
    <v>ORACLE CORPORATION</v>
    <v>159.05000000000001</v>
    <v>28.164100000000001</v>
    <v>159.16</v>
    <v>155.11000000000001</v>
    <v>154.3374</v>
    <v>2876046000</v>
    <v>ORCL</v>
    <v>ORACLE CORPORATION (XNYS:ORCL)</v>
    <v>26350375</v>
    <v>30839952</v>
    <v>2005</v>
  </rv>
  <rv s="2">
    <v>447</v>
  </rv>
  <rv s="5">
    <fb>70.17</fb>
    <v>13</v>
  </rv>
  <rv s="5">
    <fb>75.790000000000006</fb>
    <v>13</v>
  </rv>
  <rv s="5">
    <fb>78.739999999999995</fb>
    <v>13</v>
  </rv>
  <rv s="5">
    <fb>77.84</fb>
    <v>13</v>
  </rv>
  <rv s="5">
    <fb>87.14</fb>
    <v>13</v>
  </rv>
  <rv s="5">
    <fb>89.13</fb>
    <v>13</v>
  </rv>
  <rv s="5">
    <fb>87.13</fb>
    <v>13</v>
  </rv>
  <rv s="5">
    <fb>95.94</fb>
    <v>13</v>
  </rv>
  <rv s="5">
    <fb>90.74</fb>
    <v>13</v>
  </rv>
  <rv s="5">
    <fb>87.21</fb>
    <v>13</v>
  </rv>
  <rv s="5">
    <fb>81.16</fb>
    <v>13</v>
  </rv>
  <rv s="5">
    <fb>75.97</fb>
    <v>13</v>
  </rv>
  <rv s="5">
    <fb>82.73</fb>
    <v>13</v>
  </rv>
  <rv s="5">
    <fb>73.400000000000006</fb>
    <v>13</v>
  </rv>
  <rv s="5">
    <fb>71.92</fb>
    <v>13</v>
  </rv>
  <rv s="5">
    <fb>69.87</fb>
    <v>13</v>
  </rv>
  <rv s="5">
    <fb>74.150000000000006</fb>
    <v>13</v>
  </rv>
  <rv s="5">
    <fb>61.07</fb>
    <v>13</v>
  </rv>
  <rv s="5">
    <fb>78.069999999999993</fb>
    <v>13</v>
  </rv>
  <rv s="5">
    <fb>83.03</fb>
    <v>13</v>
  </rv>
  <rv s="5">
    <fb>81.739999999999995</fb>
    <v>13</v>
  </rv>
  <rv s="5">
    <fb>88.46</fb>
    <v>13</v>
  </rv>
  <rv s="5">
    <fb>87.4</fb>
    <v>13</v>
  </rv>
  <rv s="5">
    <fb>92.92</fb>
    <v>13</v>
  </rv>
  <rv s="5">
    <fb>94.72</fb>
    <v>13</v>
  </rv>
  <rv s="5">
    <fb>105.94</fb>
    <v>13</v>
  </rv>
  <rv s="5">
    <fb>119.09</fb>
    <v>13</v>
  </rv>
  <rv s="5">
    <fb>117.23</fb>
    <v>13</v>
  </rv>
  <rv s="5">
    <fb>120.39</fb>
    <v>13</v>
  </rv>
  <rv s="5">
    <fb>105.92</fb>
    <v>13</v>
  </rv>
  <rv s="5">
    <fb>103.4</fb>
    <v>13</v>
  </rv>
  <rv s="5">
    <fb>116.21</fb>
    <v>13</v>
  </rv>
  <rv s="5">
    <fb>105.43</fb>
    <v>13</v>
  </rv>
  <rv s="5">
    <fb>111.7</fb>
    <v>13</v>
  </rv>
  <rv s="5">
    <fb>111.68</fb>
    <v>13</v>
  </rv>
  <rv s="5">
    <fb>125.61</fb>
    <v>13</v>
  </rv>
  <rv s="5">
    <fb>113.75</fb>
    <v>13</v>
  </rv>
  <rv s="5">
    <fb>117.19</fb>
    <v>13</v>
  </rv>
  <rv s="5">
    <fb>141.19999999999999</fb>
    <v>13</v>
  </rv>
  <rv s="5">
    <fb>139.44999999999999</fb>
    <v>13</v>
  </rv>
  <rv s="5">
    <fb>141.29</fb>
    <v>13</v>
  </rv>
  <rv s="5">
    <fb>170.4</fb>
    <v>13</v>
  </rv>
  <rv s="5">
    <fb>167.84</fb>
    <v>13</v>
  </rv>
  <rv s="5">
    <fb>184.84</fb>
    <v>13</v>
  </rv>
  <rv s="5">
    <fb>166.64</fb>
    <v>13</v>
  </rv>
  <rv s="5">
    <fb>170.06</fb>
    <v>13</v>
  </rv>
  <rv s="5">
    <fb>166.06</fb>
    <v>13</v>
  </rv>
  <rv s="5">
    <fb>139.81</fb>
    <v>13</v>
  </rv>
  <rv s="5">
    <fb>140.72</fb>
    <v>13</v>
  </rv>
  <rv s="5">
    <fb>165.53</fb>
    <v>13</v>
  </rv>
  <rv s="5">
    <fb>218.63</fb>
    <v>13</v>
  </rv>
  <rv s="5">
    <fb>253.77</fb>
    <v>13</v>
  </rv>
  <rv s="5">
    <fb>226.13</fb>
    <v>13</v>
  </rv>
  <rv s="5">
    <fb>281.24</fb>
    <v>13</v>
  </rv>
  <rv s="5">
    <fb>262.61</fb>
    <v>13</v>
  </rv>
  <rv s="5">
    <fb>201.95</fb>
    <v>13</v>
  </rv>
  <rv s="5">
    <fb>194.91</fb>
    <v>13</v>
  </rv>
  <rv s="5">
    <fb>164.58</fb>
    <v>13</v>
  </rv>
  <rv s="5">
    <fb>145.4</fb>
    <v>13</v>
  </rv>
  <rv s="5">
    <fb>155.11000000000001</fb>
    <v>13</v>
  </rv>
  <rv s="0">
    <v>https://www.bing.com/financeapi/forcetrigger?t=a25ya2&amp;q=XNYS%3aWMT&amp;form=skydnc</v>
    <v>Learn more on Bing</v>
  </rv>
  <rv s="3">
    <v>5</v>
    <v>WALMART INC. (XNAS:WMT)</v>
    <v>6</v>
    <v>7</v>
    <v>Finance</v>
    <v>8</v>
    <v>en-US</v>
    <v>a25ya2</v>
    <v>268435456</v>
    <v>1</v>
    <v>Powered by Refinitiv</v>
    <v>134.69</v>
    <v>79.81</v>
    <v>0.65749999999999997</v>
    <v>1.19</v>
    <v>9.495E-3</v>
    <v>-0.24179999999999999</v>
    <v>-1.9109999999999999E-3</v>
    <v>USD</v>
    <v>Walmart Inc. is a technology-powered omnichannel retailer. The Company is engaged in the operation of retail and wholesale stores and clubs, as well as eCommerce Websites and mobile applications, located throughout the United States (U.S.), Africa, Canada, Central America, Chile, China, India and Mexico. It operates in three reportable segments: Walmart U.S., Walmart International and Sam's Club U.S. The Walmart U.S. segment includes the Company's mass merchandising concept in the U.S., as well as eCommerce, which includes omni-channel initiatives and certain other business offerings such as advertising services. The Walmart International segment consists of the Company's operations outside of the U.S. through its subsidiaries, as well as eCommerce and omni-channel initiatives. The Sam's Club U.S. segment includes the warehouse membership clubs in the U.S., as well as samsclub.com and omni-channel initiatives.</v>
    <v>2100000</v>
    <v>Nasdaq Stock Market</v>
    <v>XNAS</v>
    <v>XNAS</v>
    <v>1 Customer Drive, BENTONVILLE, AR, 72716 US</v>
    <v>126.685</v>
    <v>Food &amp; Drug Retailing</v>
    <v>Stock</v>
    <v>46094.999943680472</v>
    <v>509</v>
    <v>124.97</v>
    <v>1008385528840</v>
    <v>WALMART INC.</v>
    <v>WALMART INC.</v>
    <v>125.39</v>
    <v>46.349400000000003</v>
    <v>125.33</v>
    <v>126.52</v>
    <v>126.2782</v>
    <v>7970167000</v>
    <v>WMT</v>
    <v>WALMART INC. (XNAS:WMT)</v>
    <v>15194094</v>
    <v>25104669</v>
    <v>1969</v>
  </rv>
  <rv s="2">
    <v>510</v>
  </rv>
  <rv s="5">
    <fb>45.276200000000003</fb>
    <v>13</v>
  </rv>
  <rv s="5">
    <fb>46.636200000000002</fb>
    <v>13</v>
  </rv>
  <rv s="5">
    <fb>47.3429</fb>
    <v>13</v>
  </rv>
  <rv s="5">
    <fb>47.0062</fb>
    <v>13</v>
  </rv>
  <rv s="5">
    <fb>47.516199999999998</fb>
    <v>13</v>
  </rv>
  <rv s="5">
    <fb>49.366199999999999</fb>
    <v>13</v>
  </rv>
  <rv s="5">
    <fb>46.459499999999998</fb>
    <v>13</v>
  </rv>
  <rv s="5">
    <fb>49.806199999999997</fb>
    <v>13</v>
  </rv>
  <rv s="5">
    <fb>46.876199999999997</fb>
    <v>13</v>
  </rv>
  <rv s="5">
    <fb>48.229500000000002</fb>
    <v>13</v>
  </rv>
  <rv s="5">
    <fb>46.602899999999998</fb>
    <v>13</v>
  </rv>
  <rv s="5">
    <fb>45.052900000000001</fb>
    <v>13</v>
  </rv>
  <rv s="5">
    <fb>49.639499999999998</fb>
    <v>13</v>
  </rv>
  <rv s="5">
    <fb>50.996200000000002</fb>
    <v>13</v>
  </rv>
  <rv s="5">
    <fb>42.876199999999997</fb>
    <v>13</v>
  </rv>
  <rv s="5">
    <fb>40.526299999999999</fb>
    <v>13</v>
  </rv>
  <rv s="5">
    <fb>44.016199999999998</fb>
    <v>13</v>
  </rv>
  <rv s="5">
    <fb>44.182899999999997</fb>
    <v>13</v>
  </rv>
  <rv s="5">
    <fb>43.232900000000001</fb>
    <v>13</v>
  </rv>
  <rv s="5">
    <fb>47.442900000000002</fb>
    <v>13</v>
  </rv>
  <rv s="5">
    <fb>50.806199999999997</fb>
    <v>13</v>
  </rv>
  <rv s="5">
    <fb>47.262900000000002</fb>
    <v>13</v>
  </rv>
  <rv s="5">
    <fb>47.956200000000003</fb>
    <v>13</v>
  </rv>
  <rv s="5">
    <fb>47.376199999999997</fb>
    <v>13</v>
  </rv>
  <rv s="5">
    <fb>49.149500000000003</fb>
    <v>13</v>
  </rv>
  <rv s="5">
    <fb>50.322800000000001</fb>
    <v>13</v>
  </rv>
  <rv s="5">
    <fb>48.956200000000003</fb>
    <v>13</v>
  </rv>
  <rv s="5">
    <fb>52.392800000000001</fb>
    <v>13</v>
  </rv>
  <rv s="5">
    <fb>53.286099999999998</fb>
    <v>13</v>
  </rv>
  <rv s="5">
    <fb>54.202800000000003</fb>
    <v>13</v>
  </rv>
  <rv s="5">
    <fb>53.3095</fb>
    <v>13</v>
  </rv>
  <rv s="5">
    <fb>54.469499999999996</fb>
    <v>13</v>
  </rv>
  <rv s="5">
    <fb>51.896099999999997</fb>
    <v>13</v>
  </rv>
  <rv s="5">
    <fb>52.549500000000002</fb>
    <v>13</v>
  </rv>
  <rv s="5">
    <fb>55.082799999999999</fb>
    <v>13</v>
  </rv>
  <rv s="5">
    <fb>58.61</fb>
    <v>13</v>
  </rv>
  <rv s="5">
    <fb>60.17</fb>
    <v>13</v>
  </rv>
  <rv s="5">
    <fb>59.35</fb>
    <v>13</v>
  </rv>
  <rv s="5">
    <fb>65.760000000000005</fb>
    <v>13</v>
  </rv>
  <rv s="5">
    <fb>67.709999999999994</fb>
    <v>13</v>
  </rv>
  <rv s="5">
    <fb>68.64</fb>
    <v>13</v>
  </rv>
  <rv s="5">
    <fb>77.23</fb>
    <v>13</v>
  </rv>
  <rv s="5">
    <fb>80.75</fb>
    <v>13</v>
  </rv>
  <rv s="5">
    <fb>81.95</fb>
    <v>13</v>
  </rv>
  <rv s="5">
    <fb>92.5</fb>
    <v>13</v>
  </rv>
  <rv s="5">
    <fb>90.35</fb>
    <v>13</v>
  </rv>
  <rv s="5">
    <fb>98.16</fb>
    <v>13</v>
  </rv>
  <rv s="5">
    <fb>98.61</fb>
    <v>13</v>
  </rv>
  <rv s="5">
    <fb>87.79</fb>
    <v>13</v>
  </rv>
  <rv s="5">
    <fb>97.25</fb>
    <v>13</v>
  </rv>
  <rv s="5">
    <fb>98.72</fb>
    <v>13</v>
  </rv>
  <rv s="5">
    <fb>97.78</fb>
    <v>13</v>
  </rv>
  <rv s="5">
    <fb>97.98</fb>
    <v>13</v>
  </rv>
  <rv s="5">
    <fb>96.98</fb>
    <v>13</v>
  </rv>
  <rv s="5">
    <fb>103.06</fb>
    <v>13</v>
  </rv>
  <rv s="5">
    <fb>101.18</fb>
    <v>13</v>
  </rv>
  <rv s="5">
    <fb>110.51</fb>
    <v>13</v>
  </rv>
  <rv s="5">
    <fb>111.41</fb>
    <v>13</v>
  </rv>
  <rv s="5">
    <fb>119.14</fb>
    <v>13</v>
  </rv>
  <rv s="5">
    <fb>127.95</fb>
    <v>13</v>
  </rv>
  <rv s="5">
    <fb>126.52</fb>
    <v>13</v>
  </rv>
  <rv s="0">
    <v>https://www.bing.com/financeapi/forcetrigger?t=a1xh8m&amp;q=XNAS%3aMELI&amp;form=skydnc</v>
    <v>Learn more on Bing</v>
  </rv>
  <rv s="3">
    <v>5</v>
    <v>MERCADOLIBRE, INC. (XNAS:MELI)</v>
    <v>6</v>
    <v>7</v>
    <v>Finance</v>
    <v>8</v>
    <v>en-US</v>
    <v>a1xh8m</v>
    <v>268435456</v>
    <v>1</v>
    <v>Powered by Refinitiv</v>
    <v>2645.22</v>
    <v>1631.18</v>
    <v>1.5233000000000001</v>
    <v>-10</v>
    <v>-5.9519999999999998E-3</v>
    <v>0</v>
    <v>0</v>
    <v>USD</v>
    <v>MercadoLibre Inc is a Uruguay-based e-commerce business facilitator of Argentinian origins. The e-commerce products enable retail and wholesale via Internet platforms designed to provide users with a portfolio of services to facilitate commercial transactions. The Company's geographic coverage includes 18 countries of Latin America. The primary offer is an ecosystem of six integrated e-commerce services: the Mercado Libre Marketplace, the Mercado Libre Classifieds service, the Mercado Pago payments solution, the Mercado Credito financial solutions, the Mercado Envios logistic solutions including shipping, the Mercado Ads advertising platform and the Mercado Shops digital storefront solution.</v>
    <v>84207</v>
    <v>Nasdaq Stock Market</v>
    <v>XNAS</v>
    <v>XNAS</v>
    <v>WTC Free Zone, Dr. Luis Bonavita 1294, Of. 1733, Tower II, MONTEVIDEO, 11300 UY</v>
    <v>1695</v>
    <v>Software &amp; IT Services</v>
    <v>Stock</v>
    <v>46094.999580971875</v>
    <v>573</v>
    <v>1645.9090000000001</v>
    <v>84664290600</v>
    <v>MERCADOLIBRE, INC.</v>
    <v>MERCADOLIBRE, INC.</v>
    <v>1670.8</v>
    <v>42.645699999999998</v>
    <v>1680</v>
    <v>1670</v>
    <v>1670</v>
    <v>50697180</v>
    <v>MELI</v>
    <v>MERCADOLIBRE, INC. (XNAS:MELI)</v>
    <v>678931</v>
    <v>688607</v>
    <v>1999</v>
  </rv>
  <rv s="2">
    <v>574</v>
  </rv>
  <rv s="5">
    <fb>1472.14</fb>
    <v>13</v>
  </rv>
  <rv s="5">
    <fb>1570.98</fb>
    <v>13</v>
  </rv>
  <rv s="5">
    <fb>1358.67</fb>
    <v>13</v>
  </rv>
  <rv s="5">
    <fb>1557.79</fb>
    <v>13</v>
  </rv>
  <rv s="5">
    <fb>1568.7</fb>
    <v>13</v>
  </rv>
  <rv s="5">
    <fb>1867.45</fb>
    <v>13</v>
  </rv>
  <rv s="5">
    <fb>1679.4</fb>
    <v>13</v>
  </rv>
  <rv s="5">
    <fb>1481.02</fb>
    <v>13</v>
  </rv>
  <rv s="5">
    <fb>1188.4100000000001</fb>
    <v>13</v>
  </rv>
  <rv s="5">
    <fb>1348.4</fb>
    <v>13</v>
  </rv>
  <rv s="5">
    <fb>1132.06</fb>
    <v>13</v>
  </rv>
  <rv s="5">
    <fb>1126.6500000000001</fb>
    <v>13</v>
  </rv>
  <rv s="5">
    <fb>1189.48</fb>
    <v>13</v>
  </rv>
  <rv s="5">
    <fb>973.63</fb>
    <v>13</v>
  </rv>
  <rv s="5">
    <fb>785.88</fb>
    <v>13</v>
  </rv>
  <rv s="5">
    <fb>636.87</fb>
    <v>13</v>
  </rv>
  <rv s="5">
    <fb>813.71</fb>
    <v>13</v>
  </rv>
  <rv s="5">
    <fb>855.36</fb>
    <v>13</v>
  </rv>
  <rv s="5">
    <fb>827.78</fb>
    <v>13</v>
  </rv>
  <rv s="5">
    <fb>901.62</fb>
    <v>13</v>
  </rv>
  <rv s="5">
    <fb>930.98500000000001</fb>
    <v>13</v>
  </rv>
  <rv s="5">
    <fb>846.24</fb>
    <v>13</v>
  </rv>
  <rv s="5">
    <fb>1181.69</fb>
    <v>13</v>
  </rv>
  <rv s="5">
    <fb>1220</fb>
    <v>13</v>
  </rv>
  <rv s="5">
    <fb>1318.06</fb>
    <v>13</v>
  </rv>
  <rv s="5">
    <fb>1277.49</fb>
    <v>13</v>
  </rv>
  <rv s="5">
    <fb>1239</fb>
    <v>13</v>
  </rv>
  <rv s="5">
    <fb>1184.5999999999999</fb>
    <v>13</v>
  </rv>
  <rv s="5">
    <fb>1238.05</fb>
    <v>13</v>
  </rv>
  <rv s="5">
    <fb>1372.36</fb>
    <v>13</v>
  </rv>
  <rv s="5">
    <fb>1267.8800000000001</fb>
    <v>13</v>
  </rv>
  <rv s="5">
    <fb>1240.74</fb>
    <v>13</v>
  </rv>
  <rv s="5">
    <fb>1620.46</fb>
    <v>13</v>
  </rv>
  <rv s="5">
    <fb>1571.54</fb>
    <v>13</v>
  </rv>
  <rv s="5">
    <fb>1711.81</fb>
    <v>13</v>
  </rv>
  <rv s="5">
    <fb>1595.3</fb>
    <v>13</v>
  </rv>
  <rv s="5">
    <fb>1511.96</fb>
    <v>13</v>
  </rv>
  <rv s="5">
    <fb>1458.7</fb>
    <v>13</v>
  </rv>
  <rv s="5">
    <fb>1725.58</fb>
    <v>13</v>
  </rv>
  <rv s="5">
    <fb>1643.4</fb>
    <v>13</v>
  </rv>
  <rv s="5">
    <fb>1668.9</fb>
    <v>13</v>
  </rv>
  <rv s="5">
    <fb>2061.66</fb>
    <v>13</v>
  </rv>
  <rv s="5">
    <fb>2051.96</fb>
    <v>13</v>
  </rv>
  <rv s="5">
    <fb>2037.18</fb>
    <v>13</v>
  </rv>
  <rv s="5">
    <fb>1985.17</fb>
    <v>13</v>
  </rv>
  <rv s="5">
    <fb>1700.44</fb>
    <v>13</v>
  </rv>
  <rv s="5">
    <fb>1922.19</fb>
    <v>13</v>
  </rv>
  <rv s="5">
    <fb>2121.87</fb>
    <v>13</v>
  </rv>
  <rv s="5">
    <fb>1950.87</fb>
    <v>13</v>
  </rv>
  <rv s="5">
    <fb>2330.85</fb>
    <v>13</v>
  </rv>
  <rv s="5">
    <fb>2563.29</fb>
    <v>13</v>
  </rv>
  <rv s="5">
    <fb>2613.63</fb>
    <v>13</v>
  </rv>
  <rv s="5">
    <fb>2373.89</fb>
    <v>13</v>
  </rv>
  <rv s="5">
    <fb>2472.91</fb>
    <v>13</v>
  </rv>
  <rv s="5">
    <fb>2336.94</fb>
    <v>13</v>
  </rv>
  <rv s="5">
    <fb>2327.2600000000002</fb>
    <v>13</v>
  </rv>
  <rv s="5">
    <fb>2071.7800000000002</fb>
    <v>13</v>
  </rv>
  <rv s="5">
    <fb>2014.26</fb>
    <v>13</v>
  </rv>
  <rv s="5">
    <fb>2147.79</fb>
    <v>13</v>
  </rv>
  <rv s="5">
    <fb>1757.58</fb>
    <v>13</v>
  </rv>
  <rv s="5">
    <fb>1670</fb>
    <v>13</v>
  </rv>
  <rv s="0">
    <v>https://www.bing.com/financeapi/forcetrigger?t=a1o4mw&amp;q=XNYS%3aBABA&amp;form=skydnc</v>
    <v>Learn more on Bing</v>
  </rv>
  <rv s="3">
    <v>5</v>
    <v>Alibaba Group Holding Limited (XNYS:BABA)</v>
    <v>6</v>
    <v>7</v>
    <v>Finance</v>
    <v>8</v>
    <v>en-US</v>
    <v>a1o4mw</v>
    <v>268435456</v>
    <v>1</v>
    <v>Powered by Refinitiv</v>
    <v>192.67</v>
    <v>94.974199999999996</v>
    <v>0.45629999999999998</v>
    <v>1.01</v>
    <v>7.5260000000000006E-3</v>
    <v>-0.3</v>
    <v>-2.2190000000000001E-3</v>
    <v>USD</v>
    <v>Alibaba Group Holding Ltd is an investment holding company mainly engaged in the provision of technology infrastructure and marketing platforms. The Company operates its business through nine segments. The China Commerce Retail segment is engaged in the China commerce retail business. The China Commerce Wholesale segment is mainly engaged in the operation of 1688.com. The Cloud Intelligence segment provides cloud services. The International Commerce Retail segment provides customer management services, sales of goods and logistics services. The International Commerce Wholesale segment is mainly engaged in the operation of Alibaba.com. The Cainiao Represents Logistics Services segment provides fulfilment services. The Local Services segment’s revenue includes platform commissions, logistics services revenue. The Digital Media and Entertainment segment engages in the operation of Youku and Alibaba. The All Others segment is mainly engaged in the Sun Art, Freshippo and other business.</v>
    <v>126661</v>
    <v>New York Stock Exchange</v>
    <v>XNYS</v>
    <v>XNYS</v>
    <v>26/F, Tower One, Times Square, 1 Matheson Street, Causeway Bay HK</v>
    <v>137.19999999999999</v>
    <v>Software &amp; IT Services</v>
    <v>Stock</v>
    <v>46094.999918633592</v>
    <v>637</v>
    <v>134.69999999999999</v>
    <v>322802111730</v>
    <v>Alibaba Group Holding Limited</v>
    <v>Alibaba Group Holding Limited</v>
    <v>136.07</v>
    <v>18.2515</v>
    <v>134.19999999999999</v>
    <v>135.21</v>
    <v>134.91</v>
    <v>2387413000</v>
    <v>BABA</v>
    <v>Alibaba Group Holding Limited (XNYS:BABA)</v>
    <v>6438401</v>
    <v>10148386</v>
    <v>1999</v>
  </rv>
  <rv s="2">
    <v>638</v>
  </rv>
  <rv s="5">
    <fb>224.94110000000001</fb>
    <v>13</v>
  </rv>
  <rv s="5">
    <fb>229.12780000000001</fb>
    <v>13</v>
  </rv>
  <rv s="5">
    <fb>212.27189999999999</fb>
    <v>13</v>
  </rv>
  <rv s="5">
    <fb>224.9907</fb>
    <v>13</v>
  </rv>
  <rv s="5">
    <fb>193.65</fb>
    <v>13</v>
  </rv>
  <rv s="5">
    <fb>165.67240000000001</fb>
    <v>13</v>
  </rv>
  <rv s="5">
    <fb>146.8819</fb>
    <v>13</v>
  </rv>
  <rv s="5">
    <fb>163.6386</fb>
    <v>13</v>
  </rv>
  <rv s="5">
    <fb>126.52379999999999</fb>
    <v>13</v>
  </rv>
  <rv s="5">
    <fb>117.8527</fb>
    <v>13</v>
  </rv>
  <rv s="5">
    <fb>124.7975</fb>
    <v>13</v>
  </rv>
  <rv s="5">
    <fb>104.3601</fb>
    <v>13</v>
  </rv>
  <rv s="5">
    <fb>107.94159999999999</fb>
    <v>13</v>
  </rv>
  <rv s="5">
    <fb>96.323999999999998</fb>
    <v>13</v>
  </rv>
  <rv s="5">
    <fb>95.292199999999994</fb>
    <v>13</v>
  </rv>
  <rv s="5">
    <fb>112.7831</fb>
    <v>13</v>
  </rv>
  <rv s="5">
    <fb>88.664900000000003</fb>
    <v>13</v>
  </rv>
  <rv s="5">
    <fb>94.657200000000003</fb>
    <v>13</v>
  </rv>
  <rv s="5">
    <fb>79.358900000000006</fb>
    <v>13</v>
  </rv>
  <rv s="5">
    <fb>63.078400000000002</fb>
    <v>13</v>
  </rv>
  <rv s="5">
    <fb>86.869200000000006</fb>
    <v>13</v>
  </rv>
  <rv s="5">
    <fb>87.394999999999996</fb>
    <v>13</v>
  </rv>
  <rv s="5">
    <fb>109.3305</fb>
    <v>13</v>
  </rv>
  <rv s="5">
    <fb>87.097300000000004</fb>
    <v>13</v>
  </rv>
  <rv s="5">
    <fb>101.3738</fb>
    <v>13</v>
  </rv>
  <rv s="5">
    <fb>84.021799999999999</fb>
    <v>13</v>
  </rv>
  <rv s="5">
    <fb>78.922399999999996</fb>
    <v>13</v>
  </rv>
  <rv s="5">
    <fb>82.692400000000006</fb>
    <v>13</v>
  </rv>
  <rv s="5">
    <fb>101.354</fb>
    <v>13</v>
  </rv>
  <rv s="5">
    <fb>92.167000000000002</fb>
    <v>13</v>
  </rv>
  <rv s="5">
    <fb>86.055599999999998</fb>
    <v>13</v>
  </rv>
  <rv s="5">
    <fb>81.888800000000003</fb>
    <v>13</v>
  </rv>
  <rv s="5">
    <fb>74.289199999999994</fb>
    <v>13</v>
  </rv>
  <rv s="5">
    <fb>76.898399999999995</fb>
    <v>13</v>
  </rv>
  <rv s="5">
    <fb>71.6006</fb>
    <v>13</v>
  </rv>
  <rv s="5">
    <fb>73.445899999999995</fb>
    <v>13</v>
  </rv>
  <rv s="5">
    <fb>71.789100000000005</fb>
    <v>13</v>
  </rv>
  <rv s="5">
    <fb>74.259399999999999</fb>
    <v>13</v>
  </rv>
  <rv s="5">
    <fb>77.721900000000005</fb>
    <v>13</v>
  </rv>
  <rv s="5">
    <fb>71.431899999999999</fb>
    <v>13</v>
  </rv>
  <rv s="5">
    <fb>78.227900000000005</fb>
    <v>13</v>
  </rv>
  <rv s="5">
    <fb>82.682400000000001</fb>
    <v>13</v>
  </rv>
  <rv s="5">
    <fb>105.28270000000001</fb>
    <v>13</v>
  </rv>
  <rv s="5">
    <fb>97.206900000000005</fb>
    <v>13</v>
  </rv>
  <rv s="5">
    <fb>86.680700000000002</fb>
    <v>13</v>
  </rv>
  <rv s="5">
    <fb>84.120999999999995</fb>
    <v>13</v>
  </rv>
  <rv s="5">
    <fb>98.060199999999995</fb>
    <v>13</v>
  </rv>
  <rv s="5">
    <fb>131.46449999999999</fb>
    <v>13</v>
  </rv>
  <rv s="5">
    <fb>131.1867</fb>
    <v>13</v>
  </rv>
  <rv s="5">
    <fb>118.4877</fb>
    <v>13</v>
  </rv>
  <rv s="5">
    <fb>112.9418</fb>
    <v>13</v>
  </rv>
  <rv s="5">
    <fb>113.41</fb>
    <v>13</v>
  </rv>
  <rv s="5">
    <fb>120.63</fb>
    <v>13</v>
  </rv>
  <rv s="5">
    <fb>135</fb>
    <v>13</v>
  </rv>
  <rv s="5">
    <fb>178.73</fb>
    <v>13</v>
  </rv>
  <rv s="5">
    <fb>170.43</fb>
    <v>13</v>
  </rv>
  <rv s="5">
    <fb>157.30000000000001</fb>
    <v>13</v>
  </rv>
  <rv s="5">
    <fb>146.58000000000001</fb>
    <v>13</v>
  </rv>
  <rv s="5">
    <fb>169.56</fb>
    <v>13</v>
  </rv>
  <rv s="5">
    <fb>144.11000000000001</fb>
    <v>13</v>
  </rv>
  <rv s="5">
    <fb>135.21</fb>
    <v>13</v>
  </rv>
  <rv s="0">
    <v>https://www.bing.com/financeapi/forcetrigger?t=a1yyec&amp;q=XNAS%3aNXST&amp;form=skydnc</v>
    <v>Learn more on Bing</v>
  </rv>
  <rv s="3">
    <v>5</v>
    <v>NEXSTAR MEDIA GROUP, INC. (XNAS:NXST)</v>
    <v>6</v>
    <v>7</v>
    <v>Finance</v>
    <v>8</v>
    <v>en-US</v>
    <v>a1yyec</v>
    <v>268435456</v>
    <v>1</v>
    <v>Powered by Refinitiv</v>
    <v>254.3</v>
    <v>141.66</v>
    <v>0.80549999999999999</v>
    <v>-5.52</v>
    <v>-2.3083999999999997E-2</v>
    <v>-0.51</v>
    <v>-2.183E-3</v>
    <v>USD</v>
    <v>Nexstar Media Group, Inc. is a diversified media company with television broadcasting, television network and digital media assets operating in the United States. The Company produces and distributes engaging local and national news, sports and entertainment content across its television and digital platforms. The Company’s reportable broadcast segment includes television stations and related local websites that Nexstar owns, operates, programs or provides sales and other services to in various markets across the United States, NewsNation, a national cable news network, two owned and operated multicast networks and other multicast network services, and WGN-AM, a Chicago radio station. The other operating segments, The CW and digital businesses, focused on the national marketplace. The Company’s portfolio of digital assets, including its local TV station websites, The Hill and NewsNationNow.com. Its national television properties include The CW, NewsNation, Antenna TV, and Rewind TV.</v>
    <v>11693</v>
    <v>Nasdaq Stock Market</v>
    <v>XNAS</v>
    <v>XNAS</v>
    <v>545 E John Carpenter Fwy Ste 700, IRVING, TX, 75062-3932 US</v>
    <v>246.47</v>
    <v>Media &amp; Publishing</v>
    <v>Stock</v>
    <v>46094.93430547422</v>
    <v>701</v>
    <v>232.47</v>
    <v>7084924080</v>
    <v>NEXSTAR MEDIA GROUP, INC.</v>
    <v>NEXSTAR MEDIA GROUP, INC.</v>
    <v>241.12</v>
    <v>81.504499999999993</v>
    <v>239.13</v>
    <v>233.61</v>
    <v>233.1</v>
    <v>30328000</v>
    <v>NXST</v>
    <v>NEXSTAR MEDIA GROUP, INC. (XNAS:NXST)</v>
    <v>278699</v>
    <v>372961</v>
    <v>2001</v>
  </rv>
  <rv s="2">
    <v>702</v>
  </rv>
  <rv s="5">
    <fb>140.43</fb>
    <v>13</v>
  </rv>
  <rv s="5">
    <fb>147.41</fb>
    <v>13</v>
  </rv>
  <rv s="5">
    <fb>151.91</fb>
    <v>13</v>
  </rv>
  <rv s="5">
    <fb>147.88</fb>
    <v>13</v>
  </rv>
  <rv s="5">
    <fb>147.07</fb>
    <v>13</v>
  </rv>
  <rv s="5">
    <fb>149.75</fb>
    <v>13</v>
  </rv>
  <rv s="5">
    <fb>151.96</fb>
    <v>13</v>
  </rv>
  <rv s="5">
    <fb>149.93</fb>
    <v>13</v>
  </rv>
  <rv s="5">
    <fb>149.5</fb>
    <v>13</v>
  </rv>
  <rv s="5">
    <fb>150.97999999999999</fb>
    <v>13</v>
  </rv>
  <rv s="5">
    <fb>165.38</fb>
    <v>13</v>
  </rv>
  <rv s="5">
    <fb>185.05</fb>
    <v>13</v>
  </rv>
  <rv s="5">
    <fb>188.48</fb>
    <v>13</v>
  </rv>
  <rv s="5">
    <fb>158.41999999999999</fb>
    <v>13</v>
  </rv>
  <rv s="5">
    <fb>175.22</fb>
    <v>13</v>
  </rv>
  <rv s="5">
    <fb>162.88</fb>
    <v>13</v>
  </rv>
  <rv s="5">
    <fb>188.37</fb>
    <v>13</v>
  </rv>
  <rv s="5">
    <fb>191.32</fb>
    <v>13</v>
  </rv>
  <rv s="5">
    <fb>166.85</fb>
    <v>13</v>
  </rv>
  <rv s="5">
    <fb>171.3</fb>
    <v>13</v>
  </rv>
  <rv s="5">
    <fb>189.56</fb>
    <v>13</v>
  </rv>
  <rv s="5">
    <fb>175.03</fb>
    <v>13</v>
  </rv>
  <rv s="5">
    <fb>204.77</fb>
    <v>13</v>
  </rv>
  <rv s="5">
    <fb>185.9</fb>
    <v>13</v>
  </rv>
  <rv s="5">
    <fb>172.66</fb>
    <v>13</v>
  </rv>
  <rv s="5">
    <fb>173.45</fb>
    <v>13</v>
  </rv>
  <rv s="5">
    <fb>150.91999999999999</fb>
    <v>13</v>
  </rv>
  <rv s="5">
    <fb>166.55</fb>
    <v>13</v>
  </rv>
  <rv s="5">
    <fb>186.72</fb>
    <v>13</v>
  </rv>
  <rv s="5">
    <fb>162.80000000000001</fb>
    <v>13</v>
  </rv>
  <rv s="5">
    <fb>143.37</fb>
    <v>13</v>
  </rv>
  <rv s="5">
    <fb>140.08000000000001</fb>
    <v>13</v>
  </rv>
  <rv s="5">
    <fb>141.93</fb>
    <v>13</v>
  </rv>
  <rv s="5">
    <fb>156.75</fb>
    <v>13</v>
  </rv>
  <rv s="5">
    <fb>177.71</fb>
    <v>13</v>
  </rv>
  <rv s="5">
    <fb>166.17</fb>
    <v>13</v>
  </rv>
  <rv s="5">
    <fb>172.29</fb>
    <v>13</v>
  </rv>
  <rv s="5">
    <fb>160.06</fb>
    <v>13</v>
  </rv>
  <rv s="5">
    <fb>165.69</fb>
    <v>13</v>
  </rv>
  <rv s="5">
    <fb>166.01</fb>
    <v>13</v>
  </rv>
  <rv s="5">
    <fb>184.79</fb>
    <v>13</v>
  </rv>
  <rv s="5">
    <fb>170.88</fb>
    <v>13</v>
  </rv>
  <rv s="5">
    <fb>165.35</fb>
    <v>13</v>
  </rv>
  <rv s="5">
    <fb>175.92</fb>
    <v>13</v>
  </rv>
  <rv s="5">
    <fb>170.59</fb>
    <v>13</v>
  </rv>
  <rv s="5">
    <fb>157.97</fb>
    <v>13</v>
  </rv>
  <rv s="5">
    <fb>153.22</fb>
    <v>13</v>
  </rv>
  <rv s="5">
    <fb>169.15</fb>
    <v>13</v>
  </rv>
  <rv s="5">
    <fb>179.22</fb>
    <v>13</v>
  </rv>
  <rv s="5">
    <fb>149.66</fb>
    <v>13</v>
  </rv>
  <rv s="5">
    <fb>170.42</fb>
    <v>13</v>
  </rv>
  <rv s="5">
    <fb>172.95</fb>
    <v>13</v>
  </rv>
  <rv s="5">
    <fb>187.11</fb>
    <v>13</v>
  </rv>
  <rv s="5">
    <fb>204.53</fb>
    <v>13</v>
  </rv>
  <rv s="5">
    <fb>197.74</fb>
    <v>13</v>
  </rv>
  <rv s="5">
    <fb>195.73</fb>
    <v>13</v>
  </rv>
  <rv s="5">
    <fb>192.14</fb>
    <v>13</v>
  </rv>
  <rv s="5">
    <fb>203.05</fb>
    <v>13</v>
  </rv>
  <rv s="5">
    <fb>212.38</fb>
    <v>13</v>
  </rv>
  <rv s="5">
    <fb>251.02</fb>
    <v>13</v>
  </rv>
  <rv s="5">
    <fb>233.61</fb>
    <v>13</v>
  </rv>
  <rv s="0">
    <v>https://www.bing.com/financeapi/forcetrigger?t=a1ubjc&amp;q=XNYS%3aGTN&amp;form=skydnc</v>
    <v>Learn more on Bing</v>
  </rv>
  <rv s="9">
    <v>19</v>
    <v>Gray Media, Inc (XNYS:GTN)</v>
    <v>6</v>
    <v>20</v>
    <v>Finance</v>
    <v>8</v>
    <v>en-US</v>
    <v>a1ubjc</v>
    <v>268435456</v>
    <v>1</v>
    <v>Powered by Refinitiv</v>
    <v>6.3049999999999997</v>
    <v>3.13</v>
    <v>0.88959999999999995</v>
    <v>-0.13</v>
    <v>-2.7311000000000002E-2</v>
    <v>0.03</v>
    <v>6.4790000000000004E-3</v>
    <v>USD</v>
    <v>Gray Media, Inc., formerly Gray Television, Inc., is a multimedia company. The Company owns local television (TV) stations and digital assets serving approximately 113 television markets in the United States. The Company's portfolio includes approximately 77 markets with television stations and 100 markets, as well as the Telemundo Affiliate group with 43 markets totaling nearly 1.5 million Hispanic TV households. The Company also owns Gray Digital Media, a full-service digital agency offering national and local clients digital marketing strategies with the advanced digital products and services. Its media properties include video production companies Raycom Sports, Tupelo Media Group, and PowerNation Studios, and studio production facilities Assembly Atlanta and Third Rail Studios. The Company also owns a majority interest in Swirl Films.</v>
    <v>9165</v>
    <v>New York Stock Exchange</v>
    <v>XNYS</v>
    <v>XNYS</v>
    <v>4370 Peachtree Road Ne, ATLANTA, GA, 30319 US</v>
    <v>4.8650000000000002</v>
    <v>Media &amp; Publishing</v>
    <v>Stock</v>
    <v>46094.958333344533</v>
    <v>765</v>
    <v>4.5599999999999996</v>
    <v>480483343</v>
    <v>Gray Media, Inc</v>
    <v>Gray Media, Inc</v>
    <v>4.82</v>
    <v>4.76</v>
    <v>4.63</v>
    <v>4.66</v>
    <v>103776100</v>
    <v>GTN</v>
    <v>Gray Media, Inc (XNYS:GTN)</v>
    <v>1451622</v>
    <v>1657870</v>
    <v>1897</v>
  </rv>
  <rv s="2">
    <v>766</v>
  </rv>
  <rv s="5">
    <fb>18.399999999999999</fb>
    <v>13</v>
  </rv>
  <rv s="5">
    <fb>20.32</fb>
    <v>13</v>
  </rv>
  <rv s="5">
    <fb>23.26</fb>
    <v>13</v>
  </rv>
  <rv s="5">
    <fb>23.4</fb>
    <v>13</v>
  </rv>
  <rv s="5">
    <fb>22.17</fb>
    <v>13</v>
  </rv>
  <rv s="5">
    <fb>22.74</fb>
    <v>13</v>
  </rv>
  <rv s="5">
    <fb>22.82</fb>
    <v>13</v>
  </rv>
  <rv s="5">
    <fb>23.44</fb>
    <v>13</v>
  </rv>
  <rv s="5">
    <fb>20.62</fb>
    <v>13</v>
  </rv>
  <rv s="5">
    <fb>20.16</fb>
    <v>13</v>
  </rv>
  <rv s="5">
    <fb>20.85</fb>
    <v>13</v>
  </rv>
  <rv s="5">
    <fb>23.43</fb>
    <v>13</v>
  </rv>
  <rv s="5">
    <fb>22.07</fb>
    <v>13</v>
  </rv>
  <rv s="5">
    <fb>18.52</fb>
    <v>13</v>
  </rv>
  <rv s="5">
    <fb>16.89</fb>
    <v>13</v>
  </rv>
  <rv s="5">
    <fb>18.57</fb>
    <v>13</v>
  </rv>
  <rv s="5">
    <fb>19.100000000000001</fb>
    <v>13</v>
  </rv>
  <rv s="5">
    <fb>14.32</fb>
    <v>13</v>
  </rv>
  <rv s="5">
    <fb>14.15</fb>
    <v>13</v>
  </rv>
  <rv s="5">
    <fb>11.7</fb>
    <v>13</v>
  </rv>
  <rv s="5">
    <fb>11.19</fb>
    <v>13</v>
  </rv>
  <rv s="5">
    <fb>12.96</fb>
    <v>13</v>
  </rv>
  <rv s="5">
    <fb>8.7200000000000006</fb>
    <v>13</v>
  </rv>
  <rv s="5">
    <fb>7.71</fb>
    <v>13</v>
  </rv>
  <rv s="5">
    <fb>7.03</fb>
    <v>13</v>
  </rv>
  <rv s="5">
    <fb>7.88</fb>
    <v>13</v>
  </rv>
  <rv s="5">
    <fb>9.4700000000000006</fb>
    <v>13</v>
  </rv>
  <rv s="5">
    <fb>8.06</fb>
    <v>13</v>
  </rv>
  <rv s="5">
    <fb>6.92</fb>
    <v>13</v>
  </rv>
  <rv s="5">
    <fb>6.52</fb>
    <v>13</v>
  </rv>
  <rv s="5">
    <fb>7.73</fb>
    <v>13</v>
  </rv>
  <rv s="5">
    <fb>8.9600000000000009</fb>
    <v>13</v>
  </rv>
  <rv s="5">
    <fb>9.5500000000000007</fb>
    <v>13</v>
  </rv>
  <rv s="5">
    <fb>5.84</fb>
    <v>13</v>
  </rv>
  <rv s="5">
    <fb>6.32</fb>
    <v>13</v>
  </rv>
  <rv s="5">
    <fb>5.75</fb>
    <v>13</v>
  </rv>
  <rv s="5">
    <fb>6.24</fb>
    <v>13</v>
  </rv>
  <rv s="5">
    <fb>5.2</fb>
    <v>13</v>
  </rv>
  <rv s="5">
    <fb>6.43</fb>
    <v>13</v>
  </rv>
  <rv s="5">
    <fb>5.0999999999999996</fb>
    <v>13</v>
  </rv>
  <rv s="5">
    <fb>5.36</fb>
    <v>13</v>
  </rv>
  <rv s="5">
    <fb>5.71</fb>
    <v>13</v>
  </rv>
  <rv s="5">
    <fb>4.2699999999999996</fb>
    <v>13</v>
  </rv>
  <rv s="5">
    <fb>3.15</fb>
    <v>13</v>
  </rv>
  <rv s="5">
    <fb>3.74</fb>
    <v>13</v>
  </rv>
  <rv s="5">
    <fb>3.76</fb>
    <v>13</v>
  </rv>
  <rv s="5">
    <fb>4.32</fb>
    <v>13</v>
  </rv>
  <rv s="5">
    <fb>3.35</fb>
    <v>13</v>
  </rv>
  <rv s="5">
    <fb>3.97</fb>
    <v>13</v>
  </rv>
  <rv s="5">
    <fb>4.53</fb>
    <v>13</v>
  </rv>
  <rv s="5">
    <fb>4.51</fb>
    <v>13</v>
  </rv>
  <rv s="5">
    <fb>6.13</fb>
    <v>13</v>
  </rv>
  <rv s="5">
    <fb>5.78</fb>
    <v>13</v>
  </rv>
  <rv s="5">
    <fb>4.57</fb>
    <v>13</v>
  </rv>
  <rv s="5">
    <fb>4.92</fb>
    <v>13</v>
  </rv>
  <rv s="5">
    <fb>4.84</fb>
    <v>13</v>
  </rv>
  <rv s="5">
    <fb>5.19</fb>
    <v>13</v>
  </rv>
  <rv s="5">
    <fb>4.63</fb>
    <v>13</v>
  </rv>
  <rv s="0">
    <v>https://www.bing.com/financeapi/forcetrigger?t=a22ip2&amp;q=XNAS%3aSBGI&amp;form=skydnc</v>
    <v>Learn more on Bing</v>
  </rv>
  <rv s="3">
    <v>5</v>
    <v>SINCLAIR, INC. (XNAS:SBGI)</v>
    <v>6</v>
    <v>7</v>
    <v>Finance</v>
    <v>8</v>
    <v>en-US</v>
    <v>a22ip2</v>
    <v>268435456</v>
    <v>1</v>
    <v>Powered by Refinitiv</v>
    <v>17.88</v>
    <v>11.8925</v>
    <v>0.98340000000000005</v>
    <v>0.24</v>
    <v>1.7329000000000001E-2</v>
    <v>0.28000000000000003</v>
    <v>1.9872000000000001E-2</v>
    <v>USD</v>
    <v>Sinclair, Inc. is a diversified media company and a provider of local news and sports. The Company operates through two segments: Local Media and Tennis. Its Local Media segment consists primarily of broadcast television stations, which the Company owns, operates or to which the Company provides services, and includes multicast networks and original content. The Tennis segment consists primarily of Tennis Channel, a cable network which includes coverage of most of tennis' top tournaments and original professional sport and tennis lifestyle shows; the Tennis Channel International subscription and streaming service; Tennis Channel streaming service; TennisChannel 2, a 24-hours a day free ad-supported streaming television channel, and Tennis.com. The Company owns, operates and/or provides services to approximately 185 television stations in 85 markets affiliated with all major broadcast networks. Its multicast networks include CHARGE, Comet, ROAR, and The Nest.</v>
    <v>7100</v>
    <v>Nasdaq Stock Market</v>
    <v>XNAS</v>
    <v>XNAS</v>
    <v>10706 Beaver Dam Road, HUNT VALLEY, MD, 21030 US</v>
    <v>14.41</v>
    <v>Media &amp; Publishing</v>
    <v>Stock</v>
    <v>46094.956797164064</v>
    <v>826</v>
    <v>13.98</v>
    <v>1009112132</v>
    <v>SINCLAIR, INC.</v>
    <v>SINCLAIR, INC.</v>
    <v>14.02</v>
    <v>0</v>
    <v>13.85</v>
    <v>14.09</v>
    <v>14.37</v>
    <v>71619030</v>
    <v>SBGI</v>
    <v>SINCLAIR, INC. (XNAS:SBGI)</v>
    <v>457079</v>
    <v>494434</v>
    <v>2022</v>
  </rv>
  <rv s="2">
    <v>827</v>
  </rv>
  <rv s="5">
    <fb>29.26</fb>
    <v>13</v>
  </rv>
  <rv s="5">
    <fb>32.47</fb>
    <v>13</v>
  </rv>
  <rv s="5">
    <fb>33.69</fb>
    <v>13</v>
  </rv>
  <rv s="5">
    <fb>33.22</fb>
    <v>13</v>
  </rv>
  <rv s="5">
    <fb>28.29</fb>
    <v>13</v>
  </rv>
  <rv s="5">
    <fb>30.01</fb>
    <v>13</v>
  </rv>
  <rv s="5">
    <fb>31.68</fb>
    <v>13</v>
  </rv>
  <rv s="5">
    <fb>26.13</fb>
    <v>13</v>
  </rv>
  <rv s="5">
    <fb>23.33</fb>
    <v>13</v>
  </rv>
  <rv s="5">
    <fb>26.43</fb>
    <v>13</v>
  </rv>
  <rv s="5">
    <fb>27.48</fb>
    <v>13</v>
  </rv>
  <rv s="5">
    <fb>30</fb>
    <v>13</v>
  </rv>
  <rv s="5">
    <fb>28.02</fb>
    <v>13</v>
  </rv>
  <rv s="5">
    <fb>22.24</fb>
    <v>13</v>
  </rv>
  <rv s="5">
    <fb>24.23</fb>
    <v>13</v>
  </rv>
  <rv s="5">
    <fb>20.399999999999999</fb>
    <v>13</v>
  </rv>
  <rv s="5">
    <fb>21.84</fb>
    <v>13</v>
  </rv>
  <rv s="5">
    <fb>22.09</fb>
    <v>13</v>
  </rv>
  <rv s="5">
    <fb>18.09</fb>
    <v>13</v>
  </rv>
  <rv s="5">
    <fb>17.809999999999999</fb>
    <v>13</v>
  </rv>
  <rv s="5">
    <fb>15.51</fb>
    <v>13</v>
  </rv>
  <rv s="5">
    <fb>20.63</fb>
    <v>13</v>
  </rv>
  <rv s="5">
    <fb>16.27</fb>
    <v>13</v>
  </rv>
  <rv s="5">
    <fb>17.16</fb>
    <v>13</v>
  </rv>
  <rv s="5">
    <fb>19.89</fb>
    <v>13</v>
  </rv>
  <rv s="5">
    <fb>15.38</fb>
    <v>13</v>
  </rv>
  <rv s="5">
    <fb>13.82</fb>
    <v>13</v>
  </rv>
  <rv s="5">
    <fb>13.91</fb>
    <v>13</v>
  </rv>
  <rv s="5">
    <fb>12.62</fb>
    <v>13</v>
  </rv>
  <rv s="5">
    <fb>11.22</fb>
    <v>13</v>
  </rv>
  <rv s="5">
    <fb>10.87</fb>
    <v>13</v>
  </rv>
  <rv s="5">
    <fb>12.61</fb>
    <v>13</v>
  </rv>
  <rv s="5">
    <fb>13.03</fb>
    <v>13</v>
  </rv>
  <rv s="5">
    <fb>15.7</fb>
    <v>13</v>
  </rv>
  <rv s="5">
    <fb>14.85</fb>
    <v>13</v>
  </rv>
  <rv s="5">
    <fb>13.47</fb>
    <v>13</v>
  </rv>
  <rv s="5">
    <fb>12.3</fb>
    <v>13</v>
  </rv>
  <rv s="5">
    <fb>14.2</fb>
    <v>13</v>
  </rv>
  <rv s="5">
    <fb>13.33</fb>
    <v>13</v>
  </rv>
  <rv s="5">
    <fb>13.92</fb>
    <v>13</v>
  </rv>
  <rv s="5">
    <fb>17.27</fb>
    <v>13</v>
  </rv>
  <rv s="5">
    <fb>18.32</fb>
    <v>13</v>
  </rv>
  <rv s="5">
    <fb>16.14</fb>
    <v>13</v>
  </rv>
  <rv s="5">
    <fb>14.65</fb>
    <v>13</v>
  </rv>
  <rv s="5">
    <fb>14.52</fb>
    <v>13</v>
  </rv>
  <rv s="5">
    <fb>14.4</fb>
    <v>13</v>
  </rv>
  <rv s="5">
    <fb>14.03</fb>
    <v>13</v>
  </rv>
  <rv s="5">
    <fb>14.46</fb>
    <v>13</v>
  </rv>
  <rv s="5">
    <fb>14.47</fb>
    <v>13</v>
  </rv>
  <rv s="5">
    <fb>15.1</fb>
    <v>13</v>
  </rv>
  <rv s="5">
    <fb>13.66</fb>
    <v>13</v>
  </rv>
  <rv s="5">
    <fb>15.76</fb>
    <v>13</v>
  </rv>
  <rv s="5">
    <fb>16.34</fb>
    <v>13</v>
  </rv>
  <rv s="5">
    <fb>14.09</fb>
    <v>13</v>
  </rv>
  <rv s="0">
    <v>https://www.bing.com/financeapi/forcetrigger?t=b17gec&amp;q=XNAS%3aSSP&amp;form=skydnc</v>
    <v>Learn more on Bing</v>
  </rv>
  <rv s="3">
    <v>5</v>
    <v>THE E.W. SCRIPPS COMPANY (XNAS:SSP)</v>
    <v>6</v>
    <v>7</v>
    <v>Finance</v>
    <v>8</v>
    <v>en-US</v>
    <v>b17gec</v>
    <v>268435456</v>
    <v>1</v>
    <v>Powered by Refinitiv</v>
    <v>4.9800000000000004</v>
    <v>1.905</v>
    <v>0.55069999999999997</v>
    <v>-0.1</v>
    <v>-2.4569999999999998E-2</v>
    <v>0.02</v>
    <v>5.0379999999999999E-3</v>
    <v>USD</v>
    <v>The E.W. Scripps Company is a diverse media enterprise that serves audiences and businesses through a portfolio of more than 60 local television stations in more than 40 markets and national news and entertainment networks. Its Local Media segment includes more than 60 local television stations and their related digital operations. Its television station group includes approximately 25% of the nation’s television households and includes 18 ABC affiliates, 11 NBC affiliates, nine CBS affiliates and four FOX affiliates. It also has seven CW affiliates-four on full power stations and three on multicast; seven independent stations and 10 additional low power stations. Its Scripps Networks segment includes national news outlets Scripps News and Court TV, as well as entertainment brands ION, Bounce, Defy TV, Grit, ION Mystery and Laff. The networks reach nearly every United States television home through free over-the-air broadcast, cable/satellite, connected TV, and digital distribution.</v>
    <v>4600</v>
    <v>Nasdaq Stock Market</v>
    <v>XNAS</v>
    <v>XNAS</v>
    <v>312 Walnut Street, CINCINNATI, OH, 45202 US</v>
    <v>4.16</v>
    <v>Media &amp; Publishing</v>
    <v>Stock</v>
    <v>46094.929334316403</v>
    <v>883</v>
    <v>3.8250000000000002</v>
    <v>353444494</v>
    <v>THE E.W. SCRIPPS COMPANY</v>
    <v>THE E.W. SCRIPPS COMPANY</v>
    <v>4.07</v>
    <v>0</v>
    <v>4.07</v>
    <v>3.97</v>
    <v>3.99</v>
    <v>89028840</v>
    <v>SSP</v>
    <v>THE E.W. SCRIPPS COMPANY (XNAS:SSP)</v>
    <v>619274</v>
    <v>670874</v>
    <v>1987</v>
  </rv>
  <rv s="2">
    <v>884</v>
  </rv>
  <rv s="5">
    <fb>14.4856</fb>
    <v>13</v>
  </rv>
  <rv s="5">
    <fb>16.252199999999998</fb>
    <v>13</v>
  </rv>
  <rv s="5">
    <fb>15.944000000000001</fb>
    <v>13</v>
  </rv>
  <rv s="5">
    <fb>15.3276</fb>
    <v>13</v>
  </rv>
  <rv s="5">
    <fb>14.3428</fb>
    <v>13</v>
  </rv>
  <rv s="5">
    <fb>13.9369</fb>
    <v>13</v>
  </rv>
  <rv s="5">
    <fb>13.5761</fb>
    <v>13</v>
  </rv>
  <rv s="5">
    <fb>13.981999999999999</fb>
    <v>13</v>
  </rv>
  <rv s="5">
    <fb>13.929399999999999</fb>
    <v>13</v>
  </rv>
  <rv s="5">
    <fb>14.5458</fb>
    <v>13</v>
  </rv>
  <rv s="5">
    <fb>15.410299999999999</fb>
    <v>13</v>
  </rv>
  <rv s="5">
    <fb>16.7333</fb>
    <v>13</v>
  </rv>
  <rv s="5">
    <fb>15.628299999999999</fb>
    <v>13</v>
  </rv>
  <rv s="5">
    <fb>12.3733</fb>
    <v>13</v>
  </rv>
  <rv s="5">
    <fb>11.9298</fb>
    <v>13</v>
  </rv>
  <rv s="5">
    <fb>9.3739000000000008</fb>
    <v>13</v>
  </rv>
  <rv s="5">
    <fb>10.7195</fb>
    <v>13</v>
  </rv>
  <rv s="5">
    <fb>11.238200000000001</fb>
    <v>13</v>
  </rv>
  <rv s="5">
    <fb>8.4718999999999998</fb>
    <v>13</v>
  </rv>
  <rv s="5">
    <fb>10.6669</fb>
    <v>13</v>
  </rv>
  <rv s="5">
    <fb>11.2608</fb>
    <v>13</v>
  </rv>
  <rv s="5">
    <fb>9.9152000000000005</fb>
    <v>13</v>
  </rv>
  <rv s="5">
    <fb>9.4867000000000008</fb>
    <v>13</v>
  </rv>
  <rv s="5">
    <fb>7.0736999999999997</fb>
    <v>13</v>
  </rv>
  <rv s="5">
    <fb>6.3369999999999997</fb>
    <v>13</v>
  </rv>
  <rv s="5">
    <fb>5.9236000000000004</fb>
    <v>13</v>
  </rv>
  <rv s="5">
    <fb>6.8781999999999996</fb>
    <v>13</v>
  </rv>
  <rv s="5">
    <fb>7.4119999999999999</fb>
    <v>13</v>
  </rv>
  <rv s="5">
    <fb>5.7431000000000001</fb>
    <v>13</v>
  </rv>
  <rv s="5">
    <fb>4.1193999999999997</fb>
    <v>13</v>
  </rv>
  <rv s="5">
    <fb>4.1119000000000003</fb>
    <v>13</v>
  </rv>
  <rv s="5">
    <fb>5.1943999999999999</fb>
    <v>13</v>
  </rv>
  <rv s="5">
    <fb>6.0061999999999998</fb>
    <v>13</v>
  </rv>
  <rv s="5">
    <fb>5.9912000000000001</fb>
    <v>13</v>
  </rv>
  <rv s="5">
    <fb>3.0293999999999999</fb>
    <v>13</v>
  </rv>
  <rv s="5">
    <fb>2.9542999999999999</fb>
    <v>13</v>
  </rv>
  <rv s="5">
    <fb>2.8264999999999998</fb>
    <v>13</v>
  </rv>
  <rv s="5">
    <fb>2.0447000000000002</fb>
    <v>13</v>
  </rv>
  <rv s="5">
    <fb>2.3603999999999998</fb>
    <v>13</v>
  </rv>
  <rv s="5">
    <fb>1.4809000000000001</fb>
    <v>13</v>
  </rv>
  <rv s="5">
    <fb>1.6876</fb>
    <v>13</v>
  </rv>
  <rv s="5">
    <fb>2.5219999999999998</fb>
    <v>13</v>
  </rv>
  <rv s="5">
    <fb>1.5034000000000001</fb>
    <v>13</v>
  </rv>
  <rv s="5">
    <fb>1.6613</fb>
    <v>13</v>
  </rv>
  <rv s="5">
    <fb>1.4132</fb>
    <v>13</v>
  </rv>
  <rv s="5">
    <fb>1.2178</fb>
    <v>13</v>
  </rv>
  <rv s="5">
    <fb>2.2250999999999999</fb>
    <v>13</v>
  </rv>
  <rv s="5">
    <fb>1.5109999999999999</fb>
    <v>13</v>
  </rv>
  <rv s="5">
    <fb>1.6688000000000001</fb>
    <v>13</v>
  </rv>
  <rv s="5">
    <fb>2.2101000000000002</fb>
    <v>13</v>
  </rv>
  <rv s="5">
    <fb>2.2475999999999998</fb>
    <v>13</v>
  </rv>
  <rv s="5">
    <fb>1.8492</fb>
    <v>13</v>
  </rv>
  <rv s="5">
    <fb>1.8267</fb>
    <v>13</v>
  </rv>
  <rv s="5">
    <fb>3.1798000000000002</fb>
    <v>13</v>
  </rv>
  <rv s="5">
    <fb>3.99</fb>
    <v>13</v>
  </rv>
  <rv s="5">
    <fb>4.1500000000000004</fb>
    <v>13</v>
  </rv>
  <rv s="10">
    <v>21</v>
    <v>a1zbec</v>
    <v>Monthly</v>
    <v>44256</v>
    <v>46112</v>
    <v>0</v>
    <v>1</v>
    <v>639089568000000000,639091957108570923,0</v>
    <v>0</v>
    <v>a1zbec</v>
    <v>XNYS:ORCL</v>
    <v>1</v>
  </rv>
  <rv s="10">
    <v>21</v>
    <v>a1q6k2</v>
    <v>Monthly</v>
    <v>44256</v>
    <v>46112</v>
    <v>0</v>
    <v>1</v>
    <v>639089568000000000,639091957108326097,0</v>
    <v>0</v>
    <v>a1q6k2</v>
    <v>XNAS:COST</v>
    <v>2</v>
  </rv>
  <rv s="10">
    <v>21</v>
    <v>a1o4mw</v>
    <v>Monthly</v>
    <v>44256</v>
    <v>46112</v>
    <v>0</v>
    <v>1</v>
    <v>639089568000000000,639091957107097376,0</v>
    <v>0</v>
    <v>a1o4mw</v>
    <v>XNYS:BABA</v>
    <v>3</v>
  </rv>
  <rv s="10">
    <v>21</v>
    <v>b17gec</v>
    <v>Monthly</v>
    <v>44256</v>
    <v>46112</v>
    <v>0</v>
    <v>1</v>
    <v>639089568000000000,639091957109323793,0</v>
    <v>0</v>
    <v>b17gec</v>
    <v>XNAS:SSP</v>
    <v>4</v>
  </rv>
  <rv s="10">
    <v>21</v>
    <v>a1ubjc</v>
    <v>Monthly</v>
    <v>44256</v>
    <v>46112</v>
    <v>0</v>
    <v>1</v>
    <v>639089568000000000,639091957107881947,0</v>
    <v>0</v>
    <v>a1ubjc</v>
    <v>XNYS:GTN</v>
    <v>5</v>
  </rv>
  <rv s="10">
    <v>21</v>
    <v>a1yyec</v>
    <v>Monthly</v>
    <v>44256</v>
    <v>46112</v>
    <v>0</v>
    <v>1</v>
    <v>639089568000000000,639091957109234118,0</v>
    <v>0</v>
    <v>a1yyec</v>
    <v>XNAS:NXST</v>
    <v>6</v>
  </rv>
  <rv s="10">
    <v>21</v>
    <v>a23hqh</v>
    <v>Monthly</v>
    <v>44256</v>
    <v>46112</v>
    <v>0</v>
    <v>1</v>
    <v>639089568000000000,639091957107587049,0</v>
    <v>0</v>
    <v>a23hqh</v>
    <v>ARCX:SPY</v>
    <v>7</v>
  </rv>
  <rv s="10">
    <v>21</v>
    <v>r6dwra</v>
    <v>Monthly</v>
    <v>44256</v>
    <v>46112</v>
    <v>0</v>
    <v>1</v>
    <v>639089568000000000,639091957107336789,0</v>
    <v>0</v>
    <v>r6dwra</v>
    <v>US10Y</v>
    <v>8</v>
  </rv>
  <rv s="10">
    <v>21</v>
    <v>a1nhlh</v>
    <v>Monthly</v>
    <v>44256</v>
    <v>46112</v>
    <v>0</v>
    <v>1</v>
    <v>639089568000000000,639091957109060524,0</v>
    <v>0</v>
    <v>a1nhlh</v>
    <v>XNAS:AMZN</v>
    <v>9</v>
  </rv>
  <rv s="10">
    <v>21</v>
    <v>a25ya2</v>
    <v>Monthly</v>
    <v>44256</v>
    <v>46112</v>
    <v>0</v>
    <v>1</v>
    <v>639089568000000000,639091957108080932,0</v>
    <v>0</v>
    <v>a25ya2</v>
    <v>XNAS:WMT</v>
    <v>10</v>
  </rv>
  <rv s="10">
    <v>21</v>
    <v>a246kr</v>
    <v>Monthly</v>
    <v>44256</v>
    <v>46112</v>
    <v>0</v>
    <v>1</v>
    <v>639089568000000000,639091957111944834,0</v>
    <v>0</v>
    <v>a246kr</v>
    <v>XNYS:TGNA</v>
    <v>11</v>
  </rv>
  <rv s="10">
    <v>21</v>
    <v>a22ip2</v>
    <v>Monthly</v>
    <v>44256</v>
    <v>46112</v>
    <v>0</v>
    <v>1</v>
    <v>639089568000000000,639091957110594158,0</v>
    <v>0</v>
    <v>a22ip2</v>
    <v>XNAS:SBGI</v>
    <v>12</v>
  </rv>
  <rv s="10">
    <v>21</v>
    <v>a1xh8m</v>
    <v>Monthly</v>
    <v>44256</v>
    <v>46112</v>
    <v>0</v>
    <v>1</v>
    <v>639089568000000000,639091957107832324,0</v>
    <v>0</v>
    <v>a1xh8m</v>
    <v>XNAS:MELI</v>
    <v>13</v>
  </rv>
  <rv s="10">
    <v>21</v>
    <v>a1xzim</v>
    <v>Monthly</v>
    <v>44256</v>
    <v>46112</v>
    <v>0</v>
    <v>1</v>
    <v>639089568000000000,639091957108813000,0</v>
    <v>0</v>
    <v>a1xzim</v>
    <v>XNAS:MSFT</v>
    <v>14</v>
  </rv>
</rvData>
</file>

<file path=xl/richData/rdrichvaluestructure.xml><?xml version="1.0" encoding="utf-8"?>
<rvStructures xmlns="http://schemas.microsoft.com/office/spreadsheetml/2017/richdata" count="11">
  <s t="_hyperlink">
    <k n="Address" t="s"/>
    <k n="Text" t="s"/>
  </s>
  <s t="_linkedentitycore">
    <k n="_Display" t="spb"/>
    <k n="_DisplayString" t="s"/>
    <k n="_Flags" t="spb"/>
    <k n="_Format" t="spb"/>
    <k n="_Icon" t="s"/>
    <k n="_SubLabel" t="spb"/>
    <k n="%EntityCulture" t="s"/>
    <k n="%EntityId" t="s"/>
    <k n="%EntityServiceId"/>
    <k n="%IsRefreshable" t="b"/>
    <k n="%ProviderInfo" t="s"/>
    <k n="Change"/>
    <k n="Change (%)"/>
    <k n="Country/region" t="s"/>
    <k n="Currency" t="s"/>
    <k n="Instrument type" t="s"/>
    <k n="Last trade time"/>
    <k n="LearnMoreOnLink" t="r"/>
    <k n="Maturity"/>
    <k n="Name" t="s"/>
    <k n="Previous close"/>
    <k n="Price"/>
    <k n="Ticker symbol" t="s"/>
    <k n="UniqueName" t="s"/>
    <k n="Yield last month"/>
    <k n="Yield last week"/>
    <k n="Yield last year"/>
    <k n="Yield yesterday"/>
  </s>
  <s t="_linkedentity">
    <k n="%cvi" t="r"/>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Exchange" t="s"/>
    <k n="Exchange abbreviation" t="s"/>
    <k n="Expense ratio"/>
    <k n="High"/>
    <k n="Instrument type" t="s"/>
    <k n="Last trade time"/>
    <k n="LearnMoreOnLink" t="r"/>
    <k n="Low"/>
    <k n="Market cap"/>
    <k n="Name" t="s"/>
    <k n="Open"/>
    <k n="Previous close"/>
    <k n="Price"/>
    <k n="Price (Extended hours)"/>
    <k n="Ticker symbol" t="s"/>
    <k n="UniqueName" t="s"/>
    <k n="Volume"/>
    <k n="Volume average"/>
  </s>
  <s t="_formattednumber">
    <k n="_Format" t="spb"/>
  </s>
  <s t="_sourceattribution">
    <k n="License" t="r"/>
    <k n="Source" t="r"/>
  </s>
  <s t="_imageurl">
    <k n="_Provider" t="spb"/>
    <k n="Address" t="s"/>
    <k n="Attribution" t="r"/>
    <k n="ComputedImage" t="b"/>
    <k n="More Images 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Price (Extended hours)"/>
    <k n="Shares outstanding"/>
    <k n="Ticker symbol" t="s"/>
    <k n="UniqueName" t="s"/>
    <k n="Volume"/>
    <k n="Volume average"/>
    <k n="Year incorporated"/>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Arrays count="5">
    <a count="28">
      <v t="s">%EntityServiceId</v>
      <v t="s">_Format</v>
      <v t="s">%IsRefreshable</v>
      <v t="s">%EntityCulture</v>
      <v t="s">%EntityId</v>
      <v t="s">_Icon</v>
      <v t="s">_Display</v>
      <v t="s">Name</v>
      <v t="s">Price</v>
      <v t="s">_SubLabel</v>
      <v t="s">Last trade time</v>
      <v t="s">Ticker symbol</v>
      <v t="s">Change</v>
      <v t="s">Change (%)</v>
      <v t="s">Currency</v>
      <v t="s">Previous close</v>
      <v t="s">Yield yesterday</v>
      <v t="s">Yield last week</v>
      <v t="s">Yield last month</v>
      <v t="s">Yield last year</v>
      <v t="s">Maturity</v>
      <v t="s">Country/region</v>
      <v t="s">Instrument type</v>
      <v t="s">_Flags</v>
      <v t="s">UniqueName</v>
      <v t="s">_DisplayString</v>
      <v t="s">LearnMoreOnLink</v>
      <v t="s">%ProviderInfo</v>
    </a>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37">
      <v t="s">%EntityServiceId</v>
      <v t="s">_Format</v>
      <v t="s">%IsRefreshable</v>
      <v t="s">%EntityCulture</v>
      <v t="s">%EntityId</v>
      <v t="s">_Icon</v>
      <v t="s">_Display</v>
      <v t="s">Name</v>
      <v t="s">_SubLabel</v>
      <v t="s">Price</v>
      <v t="s">Price (Extended hours)</v>
      <v t="s">Exchange</v>
      <v t="s">Last trade time</v>
      <v t="s">Ticker symbol</v>
      <v t="s">Exchange abbreviation</v>
      <v t="s">Change</v>
      <v t="s">Change (Extended hours)</v>
      <v t="s">Expense ratio</v>
      <v t="s">Change (%)</v>
      <v t="s">Change % (Extended hours)</v>
      <v t="s">Currency</v>
      <v t="s">Previous close</v>
      <v t="s">Open</v>
      <v t="s">High</v>
      <v t="s">Low</v>
      <v t="s">52 week high</v>
      <v t="s">52 week low</v>
      <v t="s">Volume</v>
      <v t="s">Volume average</v>
      <v t="s">Market cap</v>
      <v t="s">Beta</v>
      <v t="s">Instrument type</v>
      <v t="s">_Flags</v>
      <v t="s">UniqueName</v>
      <v t="s">_DisplayString</v>
      <v t="s">LearnMoreOnLink</v>
      <v t="s">%ProviderInfo</v>
    </a>
    <a count="46">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spbArrays>
  <spbData count="22">
    <spb s="0">
      <v>0</v>
      <v>Name</v>
      <v>LearnMoreOnLink</v>
    </spb>
    <spb s="1">
      <v>0</v>
      <v>0</v>
      <v>0</v>
    </spb>
    <spb s="2">
      <v>1</v>
      <v>1</v>
      <v>1</v>
    </spb>
    <spb s="3">
      <v>1</v>
      <v>2</v>
      <v>2</v>
      <v>3</v>
      <v>4</v>
      <v>2</v>
      <v>5</v>
      <v>4</v>
      <v>4</v>
      <v>4</v>
      <v>4</v>
      <v>6</v>
    </spb>
    <spb s="4">
      <v>GMT</v>
    </spb>
    <spb s="0">
      <v>1</v>
      <v>Name</v>
      <v>LearnMoreOnLink</v>
    </spb>
    <spb s="5">
      <v>1</v>
      <v>1</v>
      <v>1</v>
      <v>1</v>
    </spb>
    <spb s="6">
      <v>2</v>
      <v>7</v>
      <v>7</v>
      <v>2</v>
      <v>1</v>
      <v>2</v>
      <v>2</v>
      <v>2</v>
      <v>8</v>
      <v>8</v>
      <v>4</v>
      <v>9</v>
      <v>2</v>
      <v>2</v>
      <v>2</v>
      <v>8</v>
      <v>5</v>
      <v>10</v>
      <v>6</v>
      <v>8</v>
      <v>2</v>
      <v>2</v>
      <v>4</v>
    </spb>
    <spb s="7">
      <v>at close</v>
      <v>from previous close</v>
      <v>from previous close</v>
      <v>Source: Nasdaq</v>
      <v>GMT</v>
      <v>Delayed 15 minutes</v>
      <v>from close</v>
      <v>from close</v>
    </spb>
    <spb s="0">
      <v>2</v>
      <v>Name</v>
      <v>LearnMoreOnLink</v>
    </spb>
    <spb s="8">
      <v>2</v>
      <v>7</v>
      <v>2</v>
      <v>1</v>
      <v>2</v>
      <v>2</v>
      <v>2</v>
      <v>8</v>
      <v>4</v>
      <v>9</v>
      <v>2</v>
      <v>2</v>
      <v>4</v>
      <v>2</v>
      <v>8</v>
      <v>5</v>
      <v>6</v>
      <v>2</v>
      <v>2</v>
      <v>4</v>
    </spb>
    <spb s="9">
      <v>at close</v>
      <v>from previous close</v>
      <v>Source: Nasdaq</v>
      <v>from previous close</v>
      <v>GMT</v>
      <v>Delayed 15 minutes</v>
      <v>from close</v>
      <v>from close</v>
    </spb>
    <spb s="10">
      <v>3</v>
    </spb>
    <spb s="10">
      <v>2</v>
    </spb>
    <spb s="0">
      <v>3</v>
      <v>Name</v>
      <v>LearnMoreOnLink</v>
    </spb>
    <spb s="11">
      <v>0</v>
      <v>0</v>
    </spb>
    <spb s="12">
      <v>15</v>
      <v>1</v>
      <v>1</v>
      <v>1</v>
      <v>1</v>
    </spb>
    <spb s="13">
      <v>2</v>
      <v>7</v>
      <v>7</v>
      <v>2</v>
      <v>1</v>
      <v>2</v>
      <v>11</v>
      <v>2</v>
      <v>2</v>
      <v>8</v>
      <v>8</v>
      <v>4</v>
      <v>9</v>
      <v>2</v>
      <v>2</v>
      <v>2</v>
      <v>8</v>
      <v>5</v>
      <v>10</v>
      <v>6</v>
      <v>8</v>
      <v>2</v>
      <v>2</v>
      <v>4</v>
    </spb>
    <spb s="14">
      <v>Powered by Refinitiv</v>
    </spb>
    <spb s="0">
      <v>4</v>
      <v>Name</v>
      <v>LearnMoreOnLink</v>
    </spb>
    <spb s="15">
      <v>2</v>
      <v>7</v>
      <v>2</v>
      <v>1</v>
      <v>2</v>
      <v>2</v>
      <v>2</v>
      <v>8</v>
      <v>8</v>
      <v>4</v>
      <v>9</v>
      <v>2</v>
      <v>2</v>
      <v>2</v>
      <v>8</v>
      <v>5</v>
      <v>10</v>
      <v>6</v>
      <v>8</v>
      <v>2</v>
      <v>2</v>
      <v>4</v>
    </spb>
    <spb s="16">
      <v>3</v>
      <v>2</v>
    </spb>
  </spbData>
</supportingPropertyBags>
</file>

<file path=xl/richData/rdsupportingpropertybagstructure.xml><?xml version="1.0" encoding="utf-8"?>
<spbStructures xmlns="http://schemas.microsoft.com/office/spreadsheetml/2017/richdata2" count="17">
  <s>
    <k n="^Order" t="spba"/>
    <k n="TitleProperty" t="s"/>
    <k n="SubTitleProperty" t="s"/>
  </s>
  <s>
    <k n="ShowInCardView" t="b"/>
    <k n="ShowInDotNotation" t="b"/>
    <k n="ShowInAutoComplete" t="b"/>
  </s>
  <s>
    <k n="UniqueName" t="spb"/>
    <k n="`%ProviderInfo" t="spb"/>
    <k n="LearnMoreOnLink" t="spb"/>
  </s>
  <s>
    <k n="Name" t="i"/>
    <k n="Price" t="i"/>
    <k n="Change" t="i"/>
    <k n="Maturity" t="i"/>
    <k n="Change (%)" t="i"/>
    <k n="Previous close" t="i"/>
    <k n="Last trade time" t="i"/>
    <k n="Yield last week" t="i"/>
    <k n="Yield last year" t="i"/>
    <k n="Yield yesterday" t="i"/>
    <k n="Yield last month" t="i"/>
    <k n="`%EntityServiceId" t="i"/>
  </s>
  <s>
    <k n="Last trade time" t="s"/>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Low" t="i"/>
    <k n="Beta" t="i"/>
    <k n="High" t="i"/>
    <k n="Name" t="i"/>
    <k n="Open" t="i"/>
    <k n="Price" t="i"/>
    <k n="Change" t="i"/>
    <k n="Volume" t="i"/>
    <k n="Change (%)" t="i"/>
    <k n="Market cap" t="i"/>
    <k n="52 week low" t="i"/>
    <k n="52 week high" t="i"/>
    <k n="Expense ratio" t="i"/>
    <k n="Previous close" t="i"/>
    <k n="Volume average" t="i"/>
    <k n="Last trade time" t="i"/>
    <k n="`%EntityServiceId" t="i"/>
    <k n="Price (Extended hours)" t="i"/>
    <k n="Change (Extended hours)" t="i"/>
    <k n="Change % (Extended hours)" t="i"/>
  </s>
  <s>
    <k n="Price" t="s"/>
    <k n="Change" t="s"/>
    <k n="Exchange" t="s"/>
    <k n="Change (%)" t="s"/>
    <k n="Last trade time" t="s"/>
    <k n="Price (Extended hours)" t="s"/>
    <k n="Change (Extended hours)" t="s"/>
    <k n="Change % (Extended hours)" t="s"/>
  </s>
  <s>
    <k n="_Self" t="i"/>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name" t="s"/>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0" formatCode="General"/>
    </x:dxf>
    <x:dxf>
      <x:numFmt numFmtId="27" formatCode="m/d/yy\ h:mm"/>
    </x:dxf>
    <x:dxf>
      <x:numFmt numFmtId="14" formatCode="0.00%"/>
    </x:dxf>
    <x:dxf>
      <x:numFmt numFmtId="19" formatCode="m/d/yy"/>
    </x:dxf>
    <x:dxf>
      <x:numFmt numFmtId="4" formatCode="#,##0.00"/>
    </x:dxf>
    <x:dxf>
      <x:numFmt numFmtId="3" formatCode="#,##0"/>
    </x:dxf>
    <x:dxf>
      <x:numFmt numFmtId="1" formatCode="0"/>
    </x:dxf>
  </dxfs>
  <richProperties>
    <rPr n="IsTitleField" t="b"/>
    <rPr n="NumberFormat" t="s"/>
    <rPr n="IsHeroField" t="b"/>
  </richProperties>
  <richStyles>
    <rSty>
      <rpv i="0">1</rpv>
    </rSty>
    <rSty dxfid="1">
      <rpv i="1">_([$$-en-US]* #,##0.00_);_([$$-en-US]* (#,##0.00);_([$$-en-US]* "-"??_);_(@_)</rpv>
    </rSty>
    <rSty dxfid="4"/>
    <rSty dxfid="3"/>
    <rSty dxfid="2"/>
    <rSty dxfid="0">
      <rpv i="1">0.00</rpv>
    </rSty>
    <rSty dxfid="5">
      <rpv i="1">#,##0.00</rpv>
    </rSty>
    <rSty dxfid="6">
      <rpv i="1">#,##0</rpv>
    </rSty>
    <rSty dxfid="1">
      <rpv i="1">_([$$-en-US]* #,##0_);_([$$-en-US]* (#,##0);_([$$-en-US]* "-"_);_(@_)</rpv>
    </rSty>
    <rSty dxfid="7">
      <rpv i="1">0</rpv>
    </rSty>
    <rSty>
      <rpv i="2">1</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12" dT="2026-03-15T02:20:57.71" personId="{534EF2AF-B3EC-4937-8B8A-5B237DF66172}" id="{22673DFD-9847-487E-B1F6-83E2902C6221}">
    <text xml:space="preserve">IG = AAA-BBB- Else, Non IG
</text>
  </threadedComment>
</ThreadedComments>
</file>

<file path=xl/threadedComments/threadedComment2.xml><?xml version="1.0" encoding="utf-8"?>
<ThreadedComments xmlns="http://schemas.microsoft.com/office/spreadsheetml/2018/threadedcomments" xmlns:x="http://schemas.openxmlformats.org/spreadsheetml/2006/main">
  <threadedComment ref="E11" dT="2026-03-15T02:20:57.71" personId="{534EF2AF-B3EC-4937-8B8A-5B237DF66172}" id="{DD3A912E-0015-4979-8079-B65E54487D70}">
    <text xml:space="preserve">IG = AAA-BBB- Else, Non IG
</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4.xml"/><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5.xml"/><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F16CE-10C1-4661-A3CF-328C47571E97}">
  <dimension ref="A1:F45"/>
  <sheetViews>
    <sheetView showGridLines="0" workbookViewId="0">
      <selection activeCell="E20" sqref="E20"/>
    </sheetView>
  </sheetViews>
  <sheetFormatPr baseColWidth="10" defaultColWidth="8.83203125" defaultRowHeight="15" x14ac:dyDescent="0.2"/>
  <cols>
    <col min="1" max="1" width="28.83203125" bestFit="1" customWidth="1"/>
    <col min="2" max="2" width="16.5" bestFit="1" customWidth="1"/>
    <col min="6" max="6" width="11.5" customWidth="1"/>
  </cols>
  <sheetData>
    <row r="1" spans="1:6" x14ac:dyDescent="0.2">
      <c r="A1" s="62"/>
      <c r="B1" s="62"/>
      <c r="C1" s="62"/>
      <c r="D1" s="62"/>
      <c r="E1" s="62"/>
      <c r="F1" s="62"/>
    </row>
    <row r="2" spans="1:6" x14ac:dyDescent="0.2">
      <c r="A2" s="63" t="s">
        <v>171</v>
      </c>
      <c r="B2" s="62"/>
      <c r="C2" s="62"/>
      <c r="D2" s="62"/>
      <c r="E2" s="62"/>
      <c r="F2" s="62"/>
    </row>
    <row r="3" spans="1:6" x14ac:dyDescent="0.2">
      <c r="A3" s="63" t="s">
        <v>172</v>
      </c>
      <c r="B3" s="62"/>
      <c r="C3" s="62"/>
      <c r="D3" s="62"/>
      <c r="E3" s="62"/>
      <c r="F3" s="62"/>
    </row>
    <row r="4" spans="1:6" x14ac:dyDescent="0.2">
      <c r="A4" s="63" t="s">
        <v>270</v>
      </c>
      <c r="B4" s="62"/>
      <c r="C4" s="62"/>
      <c r="D4" s="62"/>
      <c r="E4" s="62"/>
      <c r="F4" s="62"/>
    </row>
    <row r="5" spans="1:6" x14ac:dyDescent="0.2">
      <c r="A5" s="62"/>
      <c r="B5" s="62"/>
      <c r="C5" s="62"/>
      <c r="D5" s="62"/>
      <c r="E5" s="62"/>
      <c r="F5" s="62"/>
    </row>
    <row r="7" spans="1:6" x14ac:dyDescent="0.2">
      <c r="A7" s="40" t="s">
        <v>0</v>
      </c>
    </row>
    <row r="8" spans="1:6" ht="16" thickBot="1" x14ac:dyDescent="0.25"/>
    <row r="9" spans="1:6" x14ac:dyDescent="0.2">
      <c r="A9" s="73" t="s">
        <v>1</v>
      </c>
      <c r="B9" s="74"/>
    </row>
    <row r="10" spans="1:6" x14ac:dyDescent="0.2">
      <c r="A10" s="75" t="s">
        <v>3</v>
      </c>
      <c r="B10" s="89">
        <v>0.21</v>
      </c>
    </row>
    <row r="11" spans="1:6" x14ac:dyDescent="0.2">
      <c r="A11" s="90" t="s">
        <v>5</v>
      </c>
      <c r="B11" s="89">
        <v>0.02</v>
      </c>
    </row>
    <row r="12" spans="1:6" ht="16" thickBot="1" x14ac:dyDescent="0.25">
      <c r="A12" s="77" t="s">
        <v>7</v>
      </c>
      <c r="B12" s="80" cm="1">
        <f t="array" ref="B12">_FV(C12,"Price")/100</f>
        <v>4.2826000000000003E-2</v>
      </c>
      <c r="C12" t="e" vm="1">
        <v>#VALUE!</v>
      </c>
    </row>
    <row r="13" spans="1:6" ht="16" thickBot="1" x14ac:dyDescent="0.25"/>
    <row r="14" spans="1:6" x14ac:dyDescent="0.2">
      <c r="A14" s="105" t="s">
        <v>9</v>
      </c>
      <c r="B14" s="106"/>
      <c r="C14" s="98"/>
      <c r="D14" t="s">
        <v>2</v>
      </c>
    </row>
    <row r="15" spans="1:6" x14ac:dyDescent="0.2">
      <c r="A15" s="99" t="s">
        <v>10</v>
      </c>
      <c r="B15" s="100">
        <v>0.2</v>
      </c>
      <c r="C15" s="94"/>
      <c r="D15" t="s">
        <v>4</v>
      </c>
    </row>
    <row r="16" spans="1:6" x14ac:dyDescent="0.2">
      <c r="A16" s="101" t="s">
        <v>11</v>
      </c>
      <c r="B16" s="102">
        <v>0.5</v>
      </c>
      <c r="C16" s="94"/>
      <c r="D16" t="s">
        <v>6</v>
      </c>
    </row>
    <row r="17" spans="1:4" ht="16" thickBot="1" x14ac:dyDescent="0.25">
      <c r="A17" s="103" t="s">
        <v>12</v>
      </c>
      <c r="B17" s="104">
        <v>0.3</v>
      </c>
      <c r="D17" t="s">
        <v>8</v>
      </c>
    </row>
    <row r="18" spans="1:4" ht="16" thickBot="1" x14ac:dyDescent="0.25"/>
    <row r="19" spans="1:4" x14ac:dyDescent="0.2">
      <c r="A19" s="91" t="s">
        <v>13</v>
      </c>
      <c r="B19" s="92"/>
      <c r="C19" s="93"/>
    </row>
    <row r="20" spans="1:4" x14ac:dyDescent="0.2">
      <c r="A20" s="75" t="s">
        <v>14</v>
      </c>
      <c r="B20" s="94" t="s">
        <v>15</v>
      </c>
      <c r="C20" s="76" t="s">
        <v>16</v>
      </c>
    </row>
    <row r="21" spans="1:4" x14ac:dyDescent="0.2">
      <c r="A21" s="75" t="s">
        <v>17</v>
      </c>
      <c r="B21" s="94" t="s">
        <v>10</v>
      </c>
      <c r="C21" s="76">
        <f>_xlfn.XLOOKUP(B21,$A$15:$A$17,$B$15:$B$17)</f>
        <v>0.2</v>
      </c>
    </row>
    <row r="22" spans="1:4" x14ac:dyDescent="0.2">
      <c r="A22" s="75" t="s">
        <v>18</v>
      </c>
      <c r="B22" s="94" t="s">
        <v>10</v>
      </c>
      <c r="C22" s="76">
        <f t="shared" ref="C22:C43" si="0">_xlfn.XLOOKUP(B22,$A$15:$A$17,$B$15:$B$17)</f>
        <v>0.2</v>
      </c>
    </row>
    <row r="23" spans="1:4" x14ac:dyDescent="0.2">
      <c r="A23" s="75" t="s">
        <v>19</v>
      </c>
      <c r="B23" s="94" t="s">
        <v>10</v>
      </c>
      <c r="C23" s="76">
        <f t="shared" si="0"/>
        <v>0.2</v>
      </c>
    </row>
    <row r="24" spans="1:4" x14ac:dyDescent="0.2">
      <c r="A24" s="75" t="s">
        <v>20</v>
      </c>
      <c r="B24" s="94" t="s">
        <v>10</v>
      </c>
      <c r="C24" s="76">
        <f t="shared" si="0"/>
        <v>0.2</v>
      </c>
    </row>
    <row r="25" spans="1:4" x14ac:dyDescent="0.2">
      <c r="A25" s="75" t="s">
        <v>21</v>
      </c>
      <c r="B25" s="94" t="s">
        <v>10</v>
      </c>
      <c r="C25" s="76">
        <f t="shared" si="0"/>
        <v>0.2</v>
      </c>
    </row>
    <row r="26" spans="1:4" x14ac:dyDescent="0.2">
      <c r="A26" s="75" t="s">
        <v>22</v>
      </c>
      <c r="B26" s="94" t="s">
        <v>10</v>
      </c>
      <c r="C26" s="76">
        <f t="shared" si="0"/>
        <v>0.2</v>
      </c>
    </row>
    <row r="27" spans="1:4" x14ac:dyDescent="0.2">
      <c r="A27" s="75" t="s">
        <v>23</v>
      </c>
      <c r="B27" s="94" t="s">
        <v>10</v>
      </c>
      <c r="C27" s="76">
        <f t="shared" si="0"/>
        <v>0.2</v>
      </c>
    </row>
    <row r="28" spans="1:4" x14ac:dyDescent="0.2">
      <c r="A28" s="75" t="s">
        <v>24</v>
      </c>
      <c r="B28" s="94" t="s">
        <v>10</v>
      </c>
      <c r="C28" s="76">
        <f t="shared" si="0"/>
        <v>0.2</v>
      </c>
    </row>
    <row r="29" spans="1:4" x14ac:dyDescent="0.2">
      <c r="A29" s="75" t="s">
        <v>25</v>
      </c>
      <c r="B29" s="94" t="s">
        <v>10</v>
      </c>
      <c r="C29" s="76">
        <f t="shared" si="0"/>
        <v>0.2</v>
      </c>
    </row>
    <row r="30" spans="1:4" x14ac:dyDescent="0.2">
      <c r="A30" s="75" t="s">
        <v>26</v>
      </c>
      <c r="B30" s="94" t="s">
        <v>10</v>
      </c>
      <c r="C30" s="76">
        <f t="shared" si="0"/>
        <v>0.2</v>
      </c>
    </row>
    <row r="31" spans="1:4" x14ac:dyDescent="0.2">
      <c r="A31" s="75" t="s">
        <v>27</v>
      </c>
      <c r="B31" s="94" t="s">
        <v>11</v>
      </c>
      <c r="C31" s="76">
        <f t="shared" si="0"/>
        <v>0.5</v>
      </c>
    </row>
    <row r="32" spans="1:4" x14ac:dyDescent="0.2">
      <c r="A32" s="75" t="s">
        <v>28</v>
      </c>
      <c r="B32" s="94" t="s">
        <v>11</v>
      </c>
      <c r="C32" s="76">
        <f t="shared" si="0"/>
        <v>0.5</v>
      </c>
    </row>
    <row r="33" spans="1:3" x14ac:dyDescent="0.2">
      <c r="A33" s="75" t="s">
        <v>29</v>
      </c>
      <c r="B33" s="94" t="s">
        <v>11</v>
      </c>
      <c r="C33" s="76">
        <f t="shared" si="0"/>
        <v>0.5</v>
      </c>
    </row>
    <row r="34" spans="1:3" x14ac:dyDescent="0.2">
      <c r="A34" s="75" t="s">
        <v>30</v>
      </c>
      <c r="B34" s="94" t="s">
        <v>11</v>
      </c>
      <c r="C34" s="76">
        <f t="shared" si="0"/>
        <v>0.5</v>
      </c>
    </row>
    <row r="35" spans="1:3" x14ac:dyDescent="0.2">
      <c r="A35" s="75" t="s">
        <v>31</v>
      </c>
      <c r="B35" s="94" t="s">
        <v>11</v>
      </c>
      <c r="C35" s="76">
        <f t="shared" si="0"/>
        <v>0.5</v>
      </c>
    </row>
    <row r="36" spans="1:3" x14ac:dyDescent="0.2">
      <c r="A36" s="75" t="s">
        <v>32</v>
      </c>
      <c r="B36" s="94" t="s">
        <v>11</v>
      </c>
      <c r="C36" s="76">
        <f t="shared" si="0"/>
        <v>0.5</v>
      </c>
    </row>
    <row r="37" spans="1:3" x14ac:dyDescent="0.2">
      <c r="A37" s="75" t="s">
        <v>33</v>
      </c>
      <c r="B37" s="94" t="s">
        <v>11</v>
      </c>
      <c r="C37" s="76">
        <f t="shared" si="0"/>
        <v>0.5</v>
      </c>
    </row>
    <row r="38" spans="1:3" x14ac:dyDescent="0.2">
      <c r="A38" s="75" t="s">
        <v>34</v>
      </c>
      <c r="B38" s="94" t="s">
        <v>11</v>
      </c>
      <c r="C38" s="76">
        <f t="shared" si="0"/>
        <v>0.5</v>
      </c>
    </row>
    <row r="39" spans="1:3" x14ac:dyDescent="0.2">
      <c r="A39" s="75" t="s">
        <v>35</v>
      </c>
      <c r="B39" s="94" t="s">
        <v>11</v>
      </c>
      <c r="C39" s="76">
        <f t="shared" si="0"/>
        <v>0.5</v>
      </c>
    </row>
    <row r="40" spans="1:3" x14ac:dyDescent="0.2">
      <c r="A40" s="75" t="s">
        <v>36</v>
      </c>
      <c r="B40" s="94" t="s">
        <v>11</v>
      </c>
      <c r="C40" s="76">
        <f t="shared" si="0"/>
        <v>0.5</v>
      </c>
    </row>
    <row r="41" spans="1:3" x14ac:dyDescent="0.2">
      <c r="A41" s="75" t="s">
        <v>37</v>
      </c>
      <c r="B41" s="94" t="s">
        <v>11</v>
      </c>
      <c r="C41" s="76">
        <f t="shared" si="0"/>
        <v>0.5</v>
      </c>
    </row>
    <row r="42" spans="1:3" x14ac:dyDescent="0.2">
      <c r="A42" s="75" t="s">
        <v>38</v>
      </c>
      <c r="B42" s="94" t="s">
        <v>11</v>
      </c>
      <c r="C42" s="76">
        <f t="shared" si="0"/>
        <v>0.5</v>
      </c>
    </row>
    <row r="43" spans="1:3" ht="16" thickBot="1" x14ac:dyDescent="0.25">
      <c r="A43" s="77" t="s">
        <v>12</v>
      </c>
      <c r="B43" s="95" t="s">
        <v>12</v>
      </c>
      <c r="C43" s="78">
        <f t="shared" si="0"/>
        <v>0.3</v>
      </c>
    </row>
    <row r="44" spans="1:3" ht="16" thickBot="1" x14ac:dyDescent="0.25"/>
    <row r="45" spans="1:3" ht="16" thickBot="1" x14ac:dyDescent="0.25">
      <c r="A45" s="85" t="s">
        <v>39</v>
      </c>
      <c r="B45" s="96">
        <f>0.5</f>
        <v>0.5</v>
      </c>
    </row>
  </sheetData>
  <mergeCells count="2">
    <mergeCell ref="A19:C19"/>
    <mergeCell ref="A14:B14"/>
  </mergeCells>
  <phoneticPr fontId="13" type="noConversion"/>
  <pageMargins left="0.7" right="0.7" top="0.75" bottom="0.75" header="0.3" footer="0.3"/>
  <pageSetup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0A16E-2A30-E641-9735-587E0C268C8B}">
  <dimension ref="A1:F12"/>
  <sheetViews>
    <sheetView showGridLines="0" zoomScale="142" workbookViewId="0">
      <selection activeCell="A4" sqref="A4"/>
    </sheetView>
  </sheetViews>
  <sheetFormatPr baseColWidth="10" defaultRowHeight="15" x14ac:dyDescent="0.2"/>
  <cols>
    <col min="1" max="1" width="23.83203125" bestFit="1" customWidth="1"/>
  </cols>
  <sheetData>
    <row r="1" spans="1:6" x14ac:dyDescent="0.2">
      <c r="A1" s="62"/>
      <c r="B1" s="62"/>
      <c r="C1" s="62"/>
      <c r="D1" s="62"/>
      <c r="E1" s="62"/>
      <c r="F1" s="62"/>
    </row>
    <row r="2" spans="1:6" x14ac:dyDescent="0.2">
      <c r="A2" s="63" t="s">
        <v>171</v>
      </c>
      <c r="B2" s="62"/>
      <c r="C2" s="62"/>
      <c r="D2" s="62"/>
      <c r="E2" s="62"/>
      <c r="F2" s="62"/>
    </row>
    <row r="3" spans="1:6" x14ac:dyDescent="0.2">
      <c r="A3" s="63" t="s">
        <v>172</v>
      </c>
      <c r="B3" s="62"/>
      <c r="C3" s="62"/>
      <c r="D3" s="62"/>
      <c r="E3" s="62"/>
      <c r="F3" s="62"/>
    </row>
    <row r="4" spans="1:6" x14ac:dyDescent="0.2">
      <c r="A4" s="63" t="s">
        <v>270</v>
      </c>
      <c r="B4" s="62"/>
      <c r="C4" s="62"/>
      <c r="D4" s="62"/>
      <c r="E4" s="62"/>
      <c r="F4" s="62"/>
    </row>
    <row r="5" spans="1:6" x14ac:dyDescent="0.2">
      <c r="A5" s="62"/>
      <c r="B5" s="62"/>
      <c r="C5" s="62"/>
      <c r="D5" s="62"/>
      <c r="E5" s="62"/>
      <c r="F5" s="62"/>
    </row>
    <row r="7" spans="1:6" x14ac:dyDescent="0.2">
      <c r="A7" s="40" t="s">
        <v>266</v>
      </c>
    </row>
    <row r="8" spans="1:6" ht="16" thickBot="1" x14ac:dyDescent="0.25"/>
    <row r="9" spans="1:6" x14ac:dyDescent="0.2">
      <c r="A9" s="73" t="s">
        <v>207</v>
      </c>
      <c r="B9" s="82" cm="1">
        <f t="array" aca="1" ref="B9" ca="1">amznbeta</f>
        <v>1.4366578437862212</v>
      </c>
    </row>
    <row r="10" spans="1:6" x14ac:dyDescent="0.2">
      <c r="A10" s="75" t="s">
        <v>267</v>
      </c>
      <c r="B10" s="88" cm="1">
        <f t="array" aca="1" ref="B10" ca="1">amznse</f>
        <v>0.18577244049312469</v>
      </c>
    </row>
    <row r="11" spans="1:6" x14ac:dyDescent="0.2">
      <c r="A11" s="75" t="s">
        <v>268</v>
      </c>
      <c r="B11" s="88" cm="1">
        <f t="array" aca="1" ref="B11" ca="1">amznbeta-(amznse*Scalar)</f>
        <v>1.3437716235396588</v>
      </c>
    </row>
    <row r="12" spans="1:6" ht="16" thickBot="1" x14ac:dyDescent="0.25">
      <c r="A12" s="77" t="s">
        <v>269</v>
      </c>
      <c r="B12" s="84" cm="1">
        <f t="array" aca="1" ref="B12" ca="1">amznbeta+(amznse*Scalar)</f>
        <v>1.5295440640327835</v>
      </c>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055B4-505D-43A2-B671-1D0245E21994}">
  <dimension ref="A1:J37"/>
  <sheetViews>
    <sheetView showGridLines="0" workbookViewId="0">
      <selection activeCell="A4" sqref="A4"/>
    </sheetView>
  </sheetViews>
  <sheetFormatPr baseColWidth="10" defaultColWidth="8.83203125" defaultRowHeight="15" x14ac:dyDescent="0.2"/>
  <cols>
    <col min="1" max="1" width="8.83203125" bestFit="1" customWidth="1"/>
    <col min="2" max="2" width="23.83203125" bestFit="1" customWidth="1"/>
    <col min="3" max="3" width="11.83203125" bestFit="1" customWidth="1"/>
    <col min="4" max="4" width="21.5" bestFit="1" customWidth="1"/>
    <col min="5" max="5" width="20.5" bestFit="1" customWidth="1"/>
    <col min="6" max="6" width="39.5" bestFit="1" customWidth="1"/>
    <col min="7" max="7" width="18.83203125" bestFit="1" customWidth="1"/>
    <col min="8" max="8" width="8.83203125" bestFit="1" customWidth="1"/>
    <col min="9" max="9" width="12.1640625" bestFit="1" customWidth="1"/>
    <col min="10" max="11" width="17.83203125" bestFit="1" customWidth="1"/>
  </cols>
  <sheetData>
    <row r="1" spans="1:10" x14ac:dyDescent="0.2">
      <c r="A1" s="62"/>
      <c r="B1" s="62"/>
      <c r="C1" s="62"/>
      <c r="D1" s="62"/>
      <c r="E1" s="62"/>
      <c r="F1" s="62"/>
      <c r="G1" s="62"/>
      <c r="H1" s="62"/>
      <c r="I1" s="62"/>
      <c r="J1" s="62"/>
    </row>
    <row r="2" spans="1:10" x14ac:dyDescent="0.2">
      <c r="A2" s="63" t="s">
        <v>171</v>
      </c>
      <c r="B2" s="62"/>
      <c r="C2" s="62"/>
      <c r="D2" s="62"/>
      <c r="E2" s="62"/>
      <c r="F2" s="62"/>
      <c r="G2" s="62"/>
      <c r="H2" s="62"/>
      <c r="I2" s="62"/>
      <c r="J2" s="62"/>
    </row>
    <row r="3" spans="1:10" x14ac:dyDescent="0.2">
      <c r="A3" s="63" t="s">
        <v>172</v>
      </c>
      <c r="B3" s="62"/>
      <c r="C3" s="62"/>
      <c r="D3" s="62"/>
      <c r="E3" s="62"/>
      <c r="F3" s="62"/>
      <c r="G3" s="62"/>
      <c r="H3" s="62"/>
      <c r="I3" s="62"/>
      <c r="J3" s="62"/>
    </row>
    <row r="4" spans="1:10" x14ac:dyDescent="0.2">
      <c r="A4" s="63" t="s">
        <v>270</v>
      </c>
      <c r="B4" s="62"/>
      <c r="C4" s="62"/>
      <c r="D4" s="62"/>
      <c r="E4" s="62"/>
      <c r="F4" s="62"/>
      <c r="G4" s="62"/>
      <c r="H4" s="62"/>
      <c r="I4" s="62"/>
      <c r="J4" s="62"/>
    </row>
    <row r="5" spans="1:10" x14ac:dyDescent="0.2">
      <c r="A5" s="62"/>
      <c r="B5" s="62"/>
      <c r="C5" s="62"/>
      <c r="D5" s="62"/>
      <c r="E5" s="62"/>
      <c r="F5" s="62"/>
      <c r="G5" s="62"/>
      <c r="H5" s="62"/>
      <c r="I5" s="62"/>
      <c r="J5" s="62"/>
    </row>
    <row r="7" spans="1:10" x14ac:dyDescent="0.2">
      <c r="A7" s="40" t="s">
        <v>173</v>
      </c>
      <c r="E7" s="64" t="s">
        <v>174</v>
      </c>
    </row>
    <row r="9" spans="1:10" x14ac:dyDescent="0.2">
      <c r="A9" s="44"/>
      <c r="B9" s="44"/>
      <c r="C9" s="44"/>
      <c r="D9" s="44"/>
      <c r="E9" s="44"/>
      <c r="F9" s="44"/>
      <c r="G9" s="44"/>
      <c r="H9" s="44"/>
      <c r="I9" s="44"/>
      <c r="J9" s="44"/>
    </row>
    <row r="10" spans="1:10" x14ac:dyDescent="0.2">
      <c r="A10" s="44" t="s">
        <v>175</v>
      </c>
      <c r="B10" s="44" t="s">
        <v>176</v>
      </c>
      <c r="C10" s="44" t="s">
        <v>177</v>
      </c>
      <c r="D10" s="44" t="s">
        <v>178</v>
      </c>
      <c r="E10" s="44" t="s">
        <v>179</v>
      </c>
      <c r="F10" s="44" t="s">
        <v>180</v>
      </c>
      <c r="G10" s="44" t="s">
        <v>181</v>
      </c>
      <c r="H10" s="44" t="s">
        <v>182</v>
      </c>
      <c r="I10" s="44" t="s">
        <v>183</v>
      </c>
      <c r="J10" s="44" t="s">
        <v>184</v>
      </c>
    </row>
    <row r="11" spans="1:10" ht="16" x14ac:dyDescent="0.2">
      <c r="A11" s="46" t="s">
        <v>185</v>
      </c>
      <c r="B11" s="46" t="s">
        <v>186</v>
      </c>
      <c r="C11" s="69">
        <v>45747</v>
      </c>
      <c r="D11" s="66">
        <v>304281</v>
      </c>
      <c r="E11" s="66">
        <v>34214.045744214898</v>
      </c>
      <c r="F11" s="66">
        <v>63992.579895335097</v>
      </c>
      <c r="G11" s="66">
        <v>138029.898683401</v>
      </c>
      <c r="H11" s="48">
        <f t="shared" ref="H11:H16" si="0">E11/D11</f>
        <v>0.11244226798326185</v>
      </c>
      <c r="I11" s="49" t="s">
        <v>27</v>
      </c>
      <c r="J11">
        <f>_xlfn.XLOOKUP(I11,Assumptions!$A$21:$A$43,Assumptions!$C$21:$C$43)</f>
        <v>0.5</v>
      </c>
    </row>
    <row r="12" spans="1:10" ht="16" x14ac:dyDescent="0.2">
      <c r="A12" s="45" t="s">
        <v>187</v>
      </c>
      <c r="B12" s="45" t="s">
        <v>188</v>
      </c>
      <c r="C12" s="70">
        <v>46022</v>
      </c>
      <c r="D12" s="67">
        <v>84664.3</v>
      </c>
      <c r="E12" s="67">
        <v>15163</v>
      </c>
      <c r="F12" s="67">
        <v>16166</v>
      </c>
      <c r="G12" s="68">
        <v>28893.0000000002</v>
      </c>
      <c r="H12" s="53">
        <f t="shared" si="0"/>
        <v>0.17909555739550198</v>
      </c>
      <c r="I12" s="54" t="s">
        <v>25</v>
      </c>
      <c r="J12" s="55">
        <f>_xlfn.XLOOKUP(I12,Assumptions!$A$21:$A$43,Assumptions!$C$21:$C$43)</f>
        <v>0.2</v>
      </c>
    </row>
    <row r="13" spans="1:10" ht="16" x14ac:dyDescent="0.2">
      <c r="A13" s="46" t="s">
        <v>189</v>
      </c>
      <c r="B13" s="46" t="s">
        <v>190</v>
      </c>
      <c r="C13" s="69">
        <v>46053</v>
      </c>
      <c r="D13" s="66">
        <v>1008390</v>
      </c>
      <c r="E13" s="66">
        <v>67095</v>
      </c>
      <c r="F13" s="66">
        <v>10727</v>
      </c>
      <c r="G13" s="66">
        <v>713163</v>
      </c>
      <c r="H13" s="48">
        <f t="shared" si="0"/>
        <v>6.6536756612025114E-2</v>
      </c>
      <c r="I13" s="49" t="s">
        <v>26</v>
      </c>
      <c r="J13">
        <f>_xlfn.XLOOKUP(I13,Assumptions!$A$21:$A$43,Assumptions!$C$21:$C$43)</f>
        <v>0.2</v>
      </c>
    </row>
    <row r="14" spans="1:10" ht="16" x14ac:dyDescent="0.2">
      <c r="A14" s="45" t="s">
        <v>191</v>
      </c>
      <c r="B14" s="45" t="s">
        <v>192</v>
      </c>
      <c r="C14" s="70">
        <v>45900</v>
      </c>
      <c r="D14" s="67">
        <v>447393</v>
      </c>
      <c r="E14" s="67">
        <v>9935</v>
      </c>
      <c r="F14" s="67">
        <v>15284</v>
      </c>
      <c r="G14" s="67">
        <v>275235</v>
      </c>
      <c r="H14" s="53">
        <f t="shared" si="0"/>
        <v>2.2206427011598303E-2</v>
      </c>
      <c r="I14" s="54" t="s">
        <v>32</v>
      </c>
      <c r="J14" s="55">
        <f>_xlfn.XLOOKUP(I14,Assumptions!$A$21:$A$43,Assumptions!$C$21:$C$43)</f>
        <v>0.5</v>
      </c>
    </row>
    <row r="15" spans="1:10" ht="16" x14ac:dyDescent="0.2">
      <c r="A15" s="46" t="s">
        <v>193</v>
      </c>
      <c r="B15" s="46" t="s">
        <v>194</v>
      </c>
      <c r="C15" s="69">
        <v>45838</v>
      </c>
      <c r="D15" s="66">
        <v>2937210</v>
      </c>
      <c r="E15" s="66">
        <v>112184</v>
      </c>
      <c r="F15" s="66">
        <v>94565</v>
      </c>
      <c r="G15" s="66">
        <v>281724</v>
      </c>
      <c r="H15" s="48">
        <f t="shared" si="0"/>
        <v>3.8194068520807159E-2</v>
      </c>
      <c r="I15" s="49" t="s">
        <v>28</v>
      </c>
      <c r="J15">
        <f>_xlfn.XLOOKUP(I15,Assumptions!$A$21:$A$43,Assumptions!$C$21:$C$43)</f>
        <v>0.5</v>
      </c>
    </row>
    <row r="16" spans="1:10" ht="16" x14ac:dyDescent="0.2">
      <c r="A16" s="45" t="s">
        <v>195</v>
      </c>
      <c r="B16" s="45" t="s">
        <v>196</v>
      </c>
      <c r="C16" s="70">
        <v>45808</v>
      </c>
      <c r="D16" s="67">
        <v>446104</v>
      </c>
      <c r="E16" s="67">
        <v>108952</v>
      </c>
      <c r="F16" s="67">
        <v>11203</v>
      </c>
      <c r="G16" s="67">
        <v>57399</v>
      </c>
      <c r="H16" s="53">
        <f t="shared" si="0"/>
        <v>0.24423004501192547</v>
      </c>
      <c r="I16" s="54" t="s">
        <v>12</v>
      </c>
      <c r="J16" s="55">
        <f>_xlfn.XLOOKUP(I16,Assumptions!$A$21:$A$43,Assumptions!$C$21:$C$43)</f>
        <v>0.3</v>
      </c>
    </row>
    <row r="17" spans="1:10" x14ac:dyDescent="0.2">
      <c r="A17" s="46" t="s">
        <v>197</v>
      </c>
      <c r="B17" s="46"/>
      <c r="C17" s="46"/>
      <c r="D17" s="46"/>
      <c r="E17" s="66">
        <f>AVERAGE(O11:O16,E26)</f>
        <v>169934</v>
      </c>
      <c r="F17" s="46"/>
      <c r="G17" s="46"/>
      <c r="H17" s="48"/>
      <c r="I17" s="49"/>
    </row>
    <row r="18" spans="1:10" x14ac:dyDescent="0.2">
      <c r="A18" s="52" t="s">
        <v>198</v>
      </c>
      <c r="B18" s="52"/>
      <c r="C18" s="52"/>
      <c r="D18" s="52"/>
      <c r="E18" s="68">
        <f>MEDIAN(O11:O16,E26)</f>
        <v>169934</v>
      </c>
      <c r="F18" s="52"/>
      <c r="G18" s="52"/>
      <c r="H18" s="53"/>
      <c r="I18" s="54"/>
      <c r="J18" s="55"/>
    </row>
    <row r="19" spans="1:10" x14ac:dyDescent="0.2">
      <c r="A19" s="46"/>
      <c r="B19" s="46"/>
      <c r="C19" s="46"/>
      <c r="D19" s="47"/>
      <c r="E19" s="47"/>
      <c r="F19" s="47"/>
      <c r="G19" s="47"/>
      <c r="H19" s="48"/>
      <c r="I19" s="49"/>
    </row>
    <row r="22" spans="1:10" x14ac:dyDescent="0.2">
      <c r="A22" s="43"/>
    </row>
    <row r="23" spans="1:10" x14ac:dyDescent="0.2">
      <c r="A23" s="51" t="s">
        <v>199</v>
      </c>
    </row>
    <row r="24" spans="1:10" x14ac:dyDescent="0.2">
      <c r="A24" s="44"/>
      <c r="B24" s="44"/>
      <c r="C24" s="44"/>
      <c r="D24" s="44"/>
      <c r="E24" s="44"/>
      <c r="F24" s="44"/>
      <c r="G24" s="44"/>
      <c r="H24" s="44"/>
      <c r="I24" s="44"/>
      <c r="J24" s="44"/>
    </row>
    <row r="25" spans="1:10" x14ac:dyDescent="0.2">
      <c r="A25" s="44" t="s">
        <v>175</v>
      </c>
      <c r="B25" s="44" t="s">
        <v>176</v>
      </c>
      <c r="C25" s="44" t="s">
        <v>177</v>
      </c>
      <c r="D25" s="44" t="s">
        <v>178</v>
      </c>
      <c r="E25" s="44" t="s">
        <v>179</v>
      </c>
      <c r="F25" s="44" t="s">
        <v>180</v>
      </c>
      <c r="G25" s="44" t="s">
        <v>181</v>
      </c>
      <c r="H25" s="44" t="s">
        <v>182</v>
      </c>
      <c r="I25" s="44" t="s">
        <v>183</v>
      </c>
      <c r="J25" s="44" t="s">
        <v>184</v>
      </c>
    </row>
    <row r="26" spans="1:10" ht="16" x14ac:dyDescent="0.2">
      <c r="A26" s="46" t="s">
        <v>200</v>
      </c>
      <c r="B26" s="46" t="s">
        <v>201</v>
      </c>
      <c r="C26" s="69">
        <v>46022</v>
      </c>
      <c r="D26" s="66">
        <v>2229320</v>
      </c>
      <c r="E26" s="66">
        <v>169934</v>
      </c>
      <c r="F26" s="66">
        <v>123329</v>
      </c>
      <c r="G26" s="66">
        <v>716924</v>
      </c>
      <c r="H26" s="48">
        <f t="shared" ref="H26" si="1">E26/D26</f>
        <v>7.6226831500188399E-2</v>
      </c>
      <c r="I26" s="49" t="s">
        <v>23</v>
      </c>
      <c r="J26">
        <f>_xlfn.XLOOKUP(I26,Assumptions!$A$21:$A$43,Assumptions!$C$21:$C$43)</f>
        <v>0.2</v>
      </c>
    </row>
    <row r="27" spans="1:10" x14ac:dyDescent="0.2">
      <c r="B27" s="49"/>
      <c r="C27" s="49"/>
    </row>
    <row r="28" spans="1:10" x14ac:dyDescent="0.2">
      <c r="B28" s="49"/>
      <c r="C28" s="49"/>
    </row>
    <row r="29" spans="1:10" x14ac:dyDescent="0.2">
      <c r="B29" s="49"/>
      <c r="C29" s="49"/>
    </row>
    <row r="30" spans="1:10" x14ac:dyDescent="0.2">
      <c r="B30" s="49"/>
      <c r="C30" s="49"/>
    </row>
    <row r="31" spans="1:10" x14ac:dyDescent="0.2">
      <c r="B31" s="49"/>
      <c r="C31" s="49"/>
    </row>
    <row r="32" spans="1:10" x14ac:dyDescent="0.2">
      <c r="B32" s="49"/>
      <c r="C32" s="49"/>
    </row>
    <row r="33" spans="2:3" x14ac:dyDescent="0.2">
      <c r="B33" s="49"/>
      <c r="C33" s="49"/>
    </row>
    <row r="34" spans="2:3" x14ac:dyDescent="0.2">
      <c r="B34" s="49"/>
      <c r="C34" s="49"/>
    </row>
    <row r="35" spans="2:3" x14ac:dyDescent="0.2">
      <c r="B35" s="49"/>
      <c r="C35" s="49"/>
    </row>
    <row r="36" spans="2:3" x14ac:dyDescent="0.2">
      <c r="B36" s="49"/>
      <c r="C36" s="49"/>
    </row>
    <row r="37" spans="2:3" x14ac:dyDescent="0.2">
      <c r="B37" s="49"/>
      <c r="C37" s="49"/>
    </row>
  </sheetData>
  <pageMargins left="0.7" right="0.7" top="0.75" bottom="0.75" header="0.3" footer="0.3"/>
  <pageSetup orientation="portrait" horizontalDpi="0" verticalDpi="0"/>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91058-C099-4DB4-AE62-AAEA6E9B8A9A}">
  <dimension ref="A1:M38"/>
  <sheetViews>
    <sheetView showGridLines="0" zoomScale="80" zoomScaleNormal="80" workbookViewId="0">
      <selection activeCell="A4" sqref="A4"/>
    </sheetView>
  </sheetViews>
  <sheetFormatPr baseColWidth="10" defaultColWidth="8.83203125" defaultRowHeight="15" x14ac:dyDescent="0.2"/>
  <cols>
    <col min="1" max="1" width="26.5" bestFit="1" customWidth="1"/>
    <col min="2" max="2" width="24.83203125" bestFit="1" customWidth="1"/>
    <col min="3" max="3" width="14" bestFit="1" customWidth="1"/>
    <col min="4" max="4" width="18.1640625" bestFit="1" customWidth="1"/>
    <col min="5" max="7" width="17.83203125" bestFit="1" customWidth="1"/>
    <col min="8" max="8" width="12.5" bestFit="1" customWidth="1"/>
    <col min="9" max="9" width="18.1640625" bestFit="1" customWidth="1"/>
    <col min="10" max="10" width="21.83203125" bestFit="1" customWidth="1"/>
    <col min="11" max="11" width="17.83203125" bestFit="1" customWidth="1"/>
    <col min="12" max="12" width="12.5" bestFit="1" customWidth="1"/>
    <col min="13" max="13" width="13.1640625" bestFit="1" customWidth="1"/>
  </cols>
  <sheetData>
    <row r="1" spans="1:13" x14ac:dyDescent="0.2">
      <c r="A1" s="62"/>
      <c r="B1" s="62"/>
      <c r="C1" s="62"/>
      <c r="D1" s="62"/>
      <c r="E1" s="62"/>
      <c r="F1" s="62"/>
      <c r="G1" s="62"/>
      <c r="H1" s="62"/>
      <c r="I1" s="62"/>
      <c r="J1" s="62"/>
      <c r="K1" s="62"/>
      <c r="L1" s="62"/>
      <c r="M1" s="62"/>
    </row>
    <row r="2" spans="1:13" x14ac:dyDescent="0.2">
      <c r="A2" s="63" t="s">
        <v>171</v>
      </c>
      <c r="B2" s="62"/>
      <c r="C2" s="62"/>
      <c r="D2" s="62"/>
      <c r="E2" s="62"/>
      <c r="F2" s="62"/>
      <c r="G2" s="62"/>
      <c r="H2" s="62"/>
      <c r="I2" s="62"/>
      <c r="J2" s="62"/>
      <c r="K2" s="62"/>
      <c r="L2" s="62"/>
      <c r="M2" s="62"/>
    </row>
    <row r="3" spans="1:13" x14ac:dyDescent="0.2">
      <c r="A3" s="63" t="s">
        <v>172</v>
      </c>
      <c r="B3" s="62"/>
      <c r="C3" s="62"/>
      <c r="D3" s="62"/>
      <c r="E3" s="62"/>
      <c r="F3" s="62"/>
      <c r="G3" s="62"/>
      <c r="H3" s="62"/>
      <c r="I3" s="62"/>
      <c r="J3" s="62"/>
      <c r="K3" s="62"/>
      <c r="L3" s="62"/>
      <c r="M3" s="62"/>
    </row>
    <row r="4" spans="1:13" x14ac:dyDescent="0.2">
      <c r="A4" s="63" t="s">
        <v>270</v>
      </c>
      <c r="B4" s="62"/>
      <c r="C4" s="62"/>
      <c r="D4" s="62"/>
      <c r="E4" s="62"/>
      <c r="F4" s="62"/>
      <c r="G4" s="62"/>
      <c r="H4" s="62"/>
      <c r="I4" s="62"/>
      <c r="J4" s="62"/>
      <c r="K4" s="62"/>
      <c r="L4" s="62"/>
      <c r="M4" s="62"/>
    </row>
    <row r="5" spans="1:13" x14ac:dyDescent="0.2">
      <c r="A5" s="62"/>
      <c r="B5" s="62"/>
      <c r="C5" s="62"/>
      <c r="D5" s="62"/>
      <c r="E5" s="62"/>
      <c r="F5" s="62"/>
      <c r="G5" s="62"/>
      <c r="H5" s="62"/>
      <c r="I5" s="62"/>
      <c r="J5" s="62"/>
      <c r="K5" s="62"/>
      <c r="L5" s="62"/>
      <c r="M5" s="62"/>
    </row>
    <row r="7" spans="1:13" x14ac:dyDescent="0.2">
      <c r="A7" s="40" t="s">
        <v>202</v>
      </c>
    </row>
    <row r="9" spans="1:13" x14ac:dyDescent="0.2">
      <c r="A9" s="40" t="s">
        <v>203</v>
      </c>
    </row>
    <row r="10" spans="1:13" x14ac:dyDescent="0.2">
      <c r="A10" s="44"/>
      <c r="B10" s="44"/>
      <c r="C10" s="44"/>
      <c r="D10" s="44"/>
      <c r="E10" s="44"/>
      <c r="F10" s="44"/>
      <c r="G10" s="44"/>
      <c r="H10" s="44"/>
      <c r="I10" s="44"/>
      <c r="J10" s="44"/>
      <c r="K10" s="44"/>
      <c r="L10" s="44"/>
      <c r="M10" s="44"/>
    </row>
    <row r="11" spans="1:13" x14ac:dyDescent="0.2">
      <c r="A11" s="44" t="s">
        <v>204</v>
      </c>
      <c r="B11" s="44" t="s">
        <v>205</v>
      </c>
      <c r="C11" s="44" t="s">
        <v>206</v>
      </c>
      <c r="D11" s="44" t="s">
        <v>182</v>
      </c>
      <c r="E11" s="44" t="s">
        <v>184</v>
      </c>
      <c r="F11" s="44" t="s">
        <v>207</v>
      </c>
      <c r="G11" s="44" t="s">
        <v>208</v>
      </c>
      <c r="H11" s="44" t="s">
        <v>209</v>
      </c>
      <c r="I11" s="44" t="s">
        <v>210</v>
      </c>
      <c r="J11" s="44" t="s">
        <v>211</v>
      </c>
      <c r="K11" s="44" t="s">
        <v>212</v>
      </c>
      <c r="L11" s="44" t="s">
        <v>213</v>
      </c>
      <c r="M11" s="44" t="s">
        <v>214</v>
      </c>
    </row>
    <row r="12" spans="1:13" x14ac:dyDescent="0.2">
      <c r="A12" s="46" t="s">
        <v>186</v>
      </c>
      <c r="B12" s="2">
        <f ca="1">'BABA Equity Beta'!H2</f>
        <v>8.5771244005880681E-2</v>
      </c>
      <c r="C12" s="2">
        <f ca="1">'BABA Equity Beta'!H3</f>
        <v>0.37903753973488175</v>
      </c>
      <c r="D12" s="56">
        <f>'Comps List'!H11</f>
        <v>0.11244226798326185</v>
      </c>
      <c r="E12">
        <f>'Comps List'!J11</f>
        <v>0.5</v>
      </c>
      <c r="F12" s="2">
        <f ca="1">(B12+(E12*D12))/(1+D12)</f>
        <v>0.12764022195500402</v>
      </c>
      <c r="G12" s="57">
        <f>Assumptions!$B$11*'Comps List'!G11</f>
        <v>2760.5979736680201</v>
      </c>
      <c r="H12" s="57">
        <f>'Comps List'!F11-'1b. Comps Analysis'!G12</f>
        <v>61231.981921667073</v>
      </c>
      <c r="I12" s="57">
        <f>'Comps List'!D11</f>
        <v>304281</v>
      </c>
      <c r="J12" s="2">
        <f>IF(H12&gt;0,I12/(I12-H12),1)</f>
        <v>1.2519326447224421</v>
      </c>
      <c r="K12" s="2">
        <f ca="1">F12*J12</f>
        <v>0.15979696064508769</v>
      </c>
      <c r="L12" s="2">
        <f ca="1">K12-(C12*Assumptions!$B$45)</f>
        <v>-2.9721809222353179E-2</v>
      </c>
      <c r="M12" s="2">
        <f ca="1">K12+(C12*Assumptions!$B$45)</f>
        <v>0.34931573051252857</v>
      </c>
    </row>
    <row r="13" spans="1:13" x14ac:dyDescent="0.2">
      <c r="A13" s="52" t="s">
        <v>188</v>
      </c>
      <c r="B13" s="58">
        <f ca="1">'MELI Equity Beta'!H2</f>
        <v>1.3673681398900803</v>
      </c>
      <c r="C13" s="58">
        <f ca="1">'MELI Equity Beta'!H3</f>
        <v>0.30451879651044039</v>
      </c>
      <c r="D13" s="59">
        <f>'Comps List'!H12</f>
        <v>0.17909555739550198</v>
      </c>
      <c r="E13" s="55">
        <f>'Comps List'!J12</f>
        <v>0.2</v>
      </c>
      <c r="F13" s="58">
        <f t="shared" ref="F13:F15" ca="1" si="0">(B13+(E13*D13))/(1+D13)</f>
        <v>1.1900538871240205</v>
      </c>
      <c r="G13" s="60">
        <f>Assumptions!$B$11*'Comps List'!G12</f>
        <v>577.86000000000399</v>
      </c>
      <c r="H13" s="60">
        <f>'Comps List'!F12-'1b. Comps Analysis'!G13</f>
        <v>15588.139999999996</v>
      </c>
      <c r="I13" s="60">
        <f>'Comps List'!D12</f>
        <v>84664.3</v>
      </c>
      <c r="J13" s="58">
        <f t="shared" ref="J13:J14" si="1">IF(H13&gt;0,I13/(I13-H13),1)</f>
        <v>1.2256659895396618</v>
      </c>
      <c r="K13" s="58">
        <f t="shared" ref="K13:K15" ca="1" si="2">F13*J13</f>
        <v>1.4586085751673836</v>
      </c>
      <c r="L13" s="58">
        <f ca="1">K13-(C13*Assumptions!$B$45)</f>
        <v>1.3063491769121633</v>
      </c>
      <c r="M13" s="58">
        <f ca="1">K13+(C13*Assumptions!$B$45)</f>
        <v>1.6108679734226039</v>
      </c>
    </row>
    <row r="14" spans="1:13" x14ac:dyDescent="0.2">
      <c r="A14" s="46" t="s">
        <v>190</v>
      </c>
      <c r="B14" s="2">
        <f ca="1">'WMT Equity Beta'!H2</f>
        <v>1.0645001321833978</v>
      </c>
      <c r="C14" s="2">
        <f ca="1">'WMT Equity Beta'!H3</f>
        <v>0.14129261254134823</v>
      </c>
      <c r="D14" s="56">
        <f>'Comps List'!H13</f>
        <v>6.6536756612025114E-2</v>
      </c>
      <c r="E14">
        <f>'Comps List'!J13</f>
        <v>0.2</v>
      </c>
      <c r="F14" s="2">
        <f t="shared" ca="1" si="0"/>
        <v>1.0105675934972747</v>
      </c>
      <c r="G14" s="57">
        <f>Assumptions!$B$11*'Comps List'!G13</f>
        <v>14263.26</v>
      </c>
      <c r="H14" s="57">
        <f>'Comps List'!F13-'1b. Comps Analysis'!G14</f>
        <v>-3536.26</v>
      </c>
      <c r="I14" s="57">
        <f>'Comps List'!D13</f>
        <v>1008390</v>
      </c>
      <c r="J14" s="2">
        <f t="shared" si="1"/>
        <v>1</v>
      </c>
      <c r="K14" s="2">
        <f t="shared" ca="1" si="2"/>
        <v>1.0105675934972747</v>
      </c>
      <c r="L14" s="2">
        <f ca="1">K14-(C14*Assumptions!$B$45)</f>
        <v>0.93992128722660051</v>
      </c>
      <c r="M14" s="2">
        <f ca="1">K14+(C14*Assumptions!$B$45)</f>
        <v>1.0812138997679488</v>
      </c>
    </row>
    <row r="15" spans="1:13" x14ac:dyDescent="0.2">
      <c r="A15" s="52" t="s">
        <v>192</v>
      </c>
      <c r="B15" s="58">
        <f ca="1">'COST Equity Beta'!H2</f>
        <v>0.98168361234776746</v>
      </c>
      <c r="C15" s="58">
        <f ca="1">'COST Equity Beta'!H3</f>
        <v>0.1411115204959898</v>
      </c>
      <c r="D15" s="59">
        <f>'Comps List'!H14</f>
        <v>2.2206427011598303E-2</v>
      </c>
      <c r="E15" s="55">
        <f>'Comps List'!J14</f>
        <v>0.5</v>
      </c>
      <c r="F15" s="58">
        <f t="shared" ca="1" si="0"/>
        <v>0.97121951067746726</v>
      </c>
      <c r="G15" s="60">
        <f>Assumptions!$B$11*'Comps List'!G14</f>
        <v>5504.7</v>
      </c>
      <c r="H15" s="60">
        <f>'Comps List'!F14-'1b. Comps Analysis'!G15</f>
        <v>9779.2999999999993</v>
      </c>
      <c r="I15" s="60">
        <f>'Comps List'!D14</f>
        <v>447393</v>
      </c>
      <c r="J15" s="58">
        <f>IF(H15&gt;0,I15/(I15-H15),1)</f>
        <v>1.0223468780799139</v>
      </c>
      <c r="K15" s="58">
        <f t="shared" ca="1" si="2"/>
        <v>0.99292323467141019</v>
      </c>
      <c r="L15" s="58">
        <f ca="1">K15-(C15*Assumptions!$B$45)</f>
        <v>0.92236747442341527</v>
      </c>
      <c r="M15" s="58">
        <f ca="1">K15+(C15*Assumptions!$B$45)</f>
        <v>1.063478994919405</v>
      </c>
    </row>
    <row r="17" spans="1:13" x14ac:dyDescent="0.2">
      <c r="A17" s="51" t="s">
        <v>199</v>
      </c>
    </row>
    <row r="18" spans="1:13" x14ac:dyDescent="0.2">
      <c r="A18" s="44"/>
      <c r="B18" s="44"/>
      <c r="C18" s="44"/>
      <c r="D18" s="44"/>
      <c r="E18" s="44"/>
      <c r="F18" s="44"/>
      <c r="G18" s="44"/>
      <c r="H18" s="44"/>
      <c r="I18" s="44"/>
      <c r="J18" s="44"/>
      <c r="K18" s="44"/>
      <c r="L18" s="44"/>
      <c r="M18" s="44"/>
    </row>
    <row r="19" spans="1:13" x14ac:dyDescent="0.2">
      <c r="A19" s="44" t="s">
        <v>204</v>
      </c>
      <c r="B19" s="44" t="s">
        <v>205</v>
      </c>
      <c r="C19" s="44" t="s">
        <v>206</v>
      </c>
      <c r="D19" s="44" t="s">
        <v>182</v>
      </c>
      <c r="E19" s="44" t="s">
        <v>184</v>
      </c>
      <c r="F19" s="44" t="s">
        <v>207</v>
      </c>
      <c r="G19" s="44" t="s">
        <v>208</v>
      </c>
      <c r="H19" s="44" t="s">
        <v>209</v>
      </c>
      <c r="I19" s="44" t="s">
        <v>210</v>
      </c>
      <c r="J19" s="44" t="s">
        <v>211</v>
      </c>
      <c r="K19" s="44" t="s">
        <v>212</v>
      </c>
      <c r="L19" s="44" t="s">
        <v>213</v>
      </c>
      <c r="M19" s="44" t="s">
        <v>214</v>
      </c>
    </row>
    <row r="20" spans="1:13" x14ac:dyDescent="0.2">
      <c r="A20" s="46" t="s">
        <v>201</v>
      </c>
      <c r="B20" s="2">
        <f ca="1">'AMZN Equity Beta'!H2</f>
        <v>1.4366578437862212</v>
      </c>
      <c r="C20" s="2">
        <f ca="1">'AMZN Equity Beta'!H3</f>
        <v>0.18577244049312469</v>
      </c>
      <c r="D20" s="56">
        <f>'Comps List'!H26</f>
        <v>7.6226831500188399E-2</v>
      </c>
      <c r="E20">
        <f>'Comps List'!J26</f>
        <v>0.2</v>
      </c>
      <c r="F20" s="2">
        <f ca="1">(B20+(E20*D20))/(1+D20)</f>
        <v>1.3490680287745684</v>
      </c>
      <c r="G20" s="57">
        <f>Assumptions!$B$11*'Comps List'!G26</f>
        <v>14338.48</v>
      </c>
      <c r="H20" s="57">
        <f>'Comps List'!F26-'1b. Comps Analysis'!G20</f>
        <v>108990.52</v>
      </c>
      <c r="I20" s="57">
        <f>'Comps List'!D26</f>
        <v>2229320</v>
      </c>
      <c r="J20" s="2">
        <f>IF(H20&gt;0,I20/(I20-H20),1)</f>
        <v>1.0514026338963132</v>
      </c>
      <c r="K20" s="2">
        <f ca="1">F20*J20</f>
        <v>1.4184136787588884</v>
      </c>
      <c r="L20" s="2">
        <f ca="1">K20-(C20*Assumptions!$B$45)</f>
        <v>1.325527458512326</v>
      </c>
      <c r="M20" s="2">
        <f ca="1">K20+(C20*Assumptions!$B$45)</f>
        <v>1.5112998990054507</v>
      </c>
    </row>
    <row r="23" spans="1:13" x14ac:dyDescent="0.2">
      <c r="A23" s="40" t="s">
        <v>215</v>
      </c>
      <c r="B23" s="2">
        <f ca="1">AVERAGE(K12:K15)</f>
        <v>0.90547409099528908</v>
      </c>
    </row>
    <row r="24" spans="1:13" ht="16" thickBot="1" x14ac:dyDescent="0.25">
      <c r="A24" s="40"/>
    </row>
    <row r="25" spans="1:13" ht="16" thickBot="1" x14ac:dyDescent="0.25">
      <c r="A25" s="85" t="s">
        <v>216</v>
      </c>
      <c r="B25" s="86">
        <f ca="1">B23*(1+D20)-(E20*D20)</f>
        <v>0.95925014565733557</v>
      </c>
    </row>
    <row r="26" spans="1:13" x14ac:dyDescent="0.2">
      <c r="A26" s="40"/>
    </row>
    <row r="27" spans="1:13" x14ac:dyDescent="0.2">
      <c r="A27" s="40" t="s">
        <v>217</v>
      </c>
    </row>
    <row r="29" spans="1:13" x14ac:dyDescent="0.2">
      <c r="A29" s="44" t="s">
        <v>204</v>
      </c>
      <c r="B29" s="44" t="s">
        <v>218</v>
      </c>
    </row>
    <row r="30" spans="1:13" x14ac:dyDescent="0.2">
      <c r="A30" s="46" t="s">
        <v>186</v>
      </c>
      <c r="B30" s="2">
        <f ca="1">K12*(1+$D$20)-($E$20*$D$20)</f>
        <v>0.15673241033838536</v>
      </c>
    </row>
    <row r="31" spans="1:13" x14ac:dyDescent="0.2">
      <c r="A31" s="45" t="s">
        <v>188</v>
      </c>
      <c r="B31" s="58">
        <f ca="1">K13*(1+$D$20)-($E$20*$D$20)</f>
        <v>1.55454831895136</v>
      </c>
    </row>
    <row r="32" spans="1:13" x14ac:dyDescent="0.2">
      <c r="A32" s="46" t="s">
        <v>190</v>
      </c>
      <c r="B32" s="2">
        <f ca="1">K14*(1+$D$20)-($E$20*$D$20)</f>
        <v>1.0723545928663047</v>
      </c>
    </row>
    <row r="33" spans="1:2" x14ac:dyDescent="0.2">
      <c r="A33" s="45" t="s">
        <v>192</v>
      </c>
      <c r="B33" s="58">
        <f ca="1">K15*(1+$D$20)-($E$20*$D$20)</f>
        <v>1.0533652604732922</v>
      </c>
    </row>
    <row r="35" spans="1:2" x14ac:dyDescent="0.2">
      <c r="A35" t="s">
        <v>219</v>
      </c>
      <c r="B35" s="2">
        <f ca="1">_xlfn.STDEV.S(B30:B33)/SQRT(COUNT(B30:B33))</f>
        <v>0.29155687001622954</v>
      </c>
    </row>
    <row r="36" spans="1:2" ht="16" thickBot="1" x14ac:dyDescent="0.25"/>
    <row r="37" spans="1:2" x14ac:dyDescent="0.2">
      <c r="A37" s="81" t="s">
        <v>220</v>
      </c>
      <c r="B37" s="82">
        <f ca="1">$B$25+$B$35*Assumptions!$B$45</f>
        <v>1.1050285806654503</v>
      </c>
    </row>
    <row r="38" spans="1:2" ht="16" thickBot="1" x14ac:dyDescent="0.25">
      <c r="A38" s="83" t="s">
        <v>221</v>
      </c>
      <c r="B38" s="84">
        <f ca="1">$B$25-$B$35*Assumptions!$B$45</f>
        <v>0.81347171064922086</v>
      </c>
    </row>
  </sheetData>
  <pageMargins left="0.7" right="0.7" top="0.75" bottom="0.75" header="0.3" footer="0.3"/>
  <pageSetup orientation="portrait" horizontalDpi="0" verticalDpi="0"/>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69BD8-5694-4CDD-A962-7707CA76D489}">
  <dimension ref="A1:M47"/>
  <sheetViews>
    <sheetView showGridLines="0" zoomScaleNormal="80" workbookViewId="0">
      <selection activeCell="A4" sqref="A4"/>
    </sheetView>
  </sheetViews>
  <sheetFormatPr baseColWidth="10" defaultColWidth="8.83203125" defaultRowHeight="15" x14ac:dyDescent="0.2"/>
  <cols>
    <col min="1" max="1" width="26.5" bestFit="1" customWidth="1"/>
    <col min="2" max="2" width="24.83203125" bestFit="1" customWidth="1"/>
    <col min="3" max="3" width="14" bestFit="1" customWidth="1"/>
    <col min="4" max="4" width="18.1640625" bestFit="1" customWidth="1"/>
    <col min="5" max="5" width="21.5" bestFit="1" customWidth="1"/>
    <col min="6" max="7" width="17.83203125" bestFit="1" customWidth="1"/>
    <col min="8" max="8" width="12.5" bestFit="1" customWidth="1"/>
    <col min="9" max="9" width="18.1640625" bestFit="1" customWidth="1"/>
    <col min="10" max="10" width="21.83203125" bestFit="1" customWidth="1"/>
    <col min="11" max="11" width="17.83203125" bestFit="1" customWidth="1"/>
    <col min="12" max="12" width="12.5" bestFit="1" customWidth="1"/>
    <col min="13" max="13" width="13.1640625" bestFit="1" customWidth="1"/>
  </cols>
  <sheetData>
    <row r="1" spans="1:13" x14ac:dyDescent="0.2">
      <c r="A1" s="62"/>
      <c r="B1" s="62"/>
      <c r="C1" s="62"/>
      <c r="D1" s="62"/>
      <c r="E1" s="62"/>
      <c r="F1" s="62"/>
      <c r="G1" s="62"/>
      <c r="H1" s="62"/>
      <c r="I1" s="62"/>
      <c r="J1" s="62"/>
      <c r="K1" s="62"/>
      <c r="L1" s="62"/>
      <c r="M1" s="62"/>
    </row>
    <row r="2" spans="1:13" x14ac:dyDescent="0.2">
      <c r="A2" s="63" t="s">
        <v>171</v>
      </c>
      <c r="B2" s="62"/>
      <c r="C2" s="62"/>
      <c r="D2" s="62"/>
      <c r="E2" s="62"/>
      <c r="F2" s="62"/>
      <c r="G2" s="62"/>
      <c r="H2" s="62"/>
      <c r="I2" s="62"/>
      <c r="J2" s="62"/>
      <c r="K2" s="62"/>
      <c r="L2" s="62"/>
      <c r="M2" s="62"/>
    </row>
    <row r="3" spans="1:13" x14ac:dyDescent="0.2">
      <c r="A3" s="63" t="s">
        <v>172</v>
      </c>
      <c r="B3" s="62"/>
      <c r="C3" s="62"/>
      <c r="D3" s="62"/>
      <c r="E3" s="62"/>
      <c r="F3" s="62"/>
      <c r="G3" s="62"/>
      <c r="H3" s="62"/>
      <c r="I3" s="62"/>
      <c r="J3" s="62"/>
      <c r="K3" s="62"/>
      <c r="L3" s="62"/>
      <c r="M3" s="62"/>
    </row>
    <row r="4" spans="1:13" x14ac:dyDescent="0.2">
      <c r="A4" s="63" t="s">
        <v>270</v>
      </c>
      <c r="B4" s="62"/>
      <c r="C4" s="62"/>
      <c r="D4" s="62"/>
      <c r="E4" s="62"/>
      <c r="F4" s="62"/>
      <c r="G4" s="62"/>
      <c r="H4" s="62"/>
      <c r="I4" s="62"/>
      <c r="J4" s="62"/>
      <c r="K4" s="62"/>
      <c r="L4" s="62"/>
      <c r="M4" s="62"/>
    </row>
    <row r="5" spans="1:13" x14ac:dyDescent="0.2">
      <c r="A5" s="62"/>
      <c r="B5" s="62"/>
      <c r="C5" s="62"/>
      <c r="D5" s="62"/>
      <c r="E5" s="62"/>
      <c r="F5" s="62"/>
      <c r="G5" s="62"/>
      <c r="H5" s="62"/>
      <c r="I5" s="62"/>
      <c r="J5" s="62"/>
      <c r="K5" s="62"/>
      <c r="L5" s="62"/>
      <c r="M5" s="62"/>
    </row>
    <row r="7" spans="1:13" x14ac:dyDescent="0.2">
      <c r="A7" s="40" t="s">
        <v>222</v>
      </c>
    </row>
    <row r="9" spans="1:13" x14ac:dyDescent="0.2">
      <c r="A9" s="40" t="s">
        <v>223</v>
      </c>
    </row>
    <row r="10" spans="1:13" x14ac:dyDescent="0.2">
      <c r="A10" s="44" t="s">
        <v>204</v>
      </c>
      <c r="B10" s="44" t="s">
        <v>205</v>
      </c>
      <c r="C10" s="44" t="s">
        <v>206</v>
      </c>
      <c r="D10" s="44" t="s">
        <v>182</v>
      </c>
      <c r="E10" s="44" t="s">
        <v>184</v>
      </c>
      <c r="F10" s="44" t="s">
        <v>207</v>
      </c>
      <c r="G10" s="44" t="s">
        <v>208</v>
      </c>
      <c r="H10" s="44" t="s">
        <v>209</v>
      </c>
      <c r="I10" s="44" t="s">
        <v>210</v>
      </c>
      <c r="J10" s="44" t="s">
        <v>211</v>
      </c>
      <c r="K10" s="44" t="s">
        <v>212</v>
      </c>
      <c r="L10" s="44" t="s">
        <v>213</v>
      </c>
      <c r="M10" s="44" t="s">
        <v>214</v>
      </c>
    </row>
    <row r="11" spans="1:13" x14ac:dyDescent="0.2">
      <c r="A11" s="46" t="s">
        <v>186</v>
      </c>
      <c r="B11" s="2">
        <f ca="1">'BABA Equity Beta'!H2</f>
        <v>8.5771244005880681E-2</v>
      </c>
      <c r="C11" s="2">
        <f ca="1">'BABA Equity Beta'!H3</f>
        <v>0.37903753973488175</v>
      </c>
      <c r="D11" s="56">
        <f>'Comps List'!H11</f>
        <v>0.11244226798326185</v>
      </c>
      <c r="E11">
        <f>'Comps List'!J11</f>
        <v>0.5</v>
      </c>
      <c r="F11" s="2">
        <f ca="1">(B11+(E11*D11))/(1+D11)</f>
        <v>0.12764022195500402</v>
      </c>
      <c r="G11" s="57">
        <f>Assumptions!$B$11*'Comps List'!G11</f>
        <v>2760.5979736680201</v>
      </c>
      <c r="H11" s="57">
        <f>'Comps List'!F11-'1c. Sector Based Comps Analysis'!G11</f>
        <v>61231.981921667073</v>
      </c>
      <c r="I11" s="57">
        <f>'Comps List'!D11</f>
        <v>304281</v>
      </c>
      <c r="J11" s="2">
        <f>IF(H11&gt;0,I11/(I11-H11),1)</f>
        <v>1.2519326447224421</v>
      </c>
      <c r="K11" s="2">
        <f ca="1">F11*J11</f>
        <v>0.15979696064508769</v>
      </c>
      <c r="L11" s="2">
        <f ca="1">K11-(C11*Assumptions!$B$45)</f>
        <v>-2.9721809222353179E-2</v>
      </c>
      <c r="M11" s="2">
        <f ca="1">K11+(C11*Assumptions!$B$45)</f>
        <v>0.34931573051252857</v>
      </c>
    </row>
    <row r="12" spans="1:13" x14ac:dyDescent="0.2">
      <c r="A12" s="52" t="s">
        <v>188</v>
      </c>
      <c r="B12" s="58">
        <f ca="1">'MELI Equity Beta'!H2</f>
        <v>1.3673681398900803</v>
      </c>
      <c r="C12" s="58">
        <f ca="1">'MELI Equity Beta'!H3</f>
        <v>0.30451879651044039</v>
      </c>
      <c r="D12" s="59">
        <f>'Comps List'!H12</f>
        <v>0.17909555739550198</v>
      </c>
      <c r="E12" s="55">
        <f>'Comps List'!J12</f>
        <v>0.2</v>
      </c>
      <c r="F12" s="58">
        <f t="shared" ref="F12" ca="1" si="0">(B12+(E12*D12))/(1+D12)</f>
        <v>1.1900538871240205</v>
      </c>
      <c r="G12" s="60">
        <f>Assumptions!$B$11*'Comps List'!G12</f>
        <v>577.86000000000399</v>
      </c>
      <c r="H12" s="60">
        <f>'Comps List'!F12-'1c. Sector Based Comps Analysis'!G12</f>
        <v>15588.139999999996</v>
      </c>
      <c r="I12" s="60">
        <f>'Comps List'!D12</f>
        <v>84664.3</v>
      </c>
      <c r="J12" s="58">
        <f t="shared" ref="J12" si="1">IF(H12&gt;0,I12/(I12-H12),1)</f>
        <v>1.2256659895396618</v>
      </c>
      <c r="K12" s="58">
        <f t="shared" ref="K12" ca="1" si="2">F12*J12</f>
        <v>1.4586085751673836</v>
      </c>
      <c r="L12" s="58">
        <f ca="1">K12-(C12*Assumptions!$B$45)</f>
        <v>1.3063491769121633</v>
      </c>
      <c r="M12" s="58">
        <f ca="1">K12+(C12*Assumptions!$B$45)</f>
        <v>1.6108679734226039</v>
      </c>
    </row>
    <row r="13" spans="1:13" x14ac:dyDescent="0.2">
      <c r="A13" s="51" t="s">
        <v>224</v>
      </c>
      <c r="B13" s="2"/>
      <c r="C13" s="2"/>
      <c r="D13" s="56"/>
      <c r="F13" s="2"/>
      <c r="G13" s="57"/>
      <c r="H13" s="57"/>
      <c r="I13" s="57"/>
      <c r="J13" s="2"/>
      <c r="K13" s="2">
        <f ca="1">AVERAGE(K11:K12)</f>
        <v>0.80920276790623569</v>
      </c>
      <c r="L13" s="2"/>
      <c r="M13" s="2"/>
    </row>
    <row r="15" spans="1:13" x14ac:dyDescent="0.2">
      <c r="A15" s="40" t="s">
        <v>225</v>
      </c>
    </row>
    <row r="16" spans="1:13" x14ac:dyDescent="0.2">
      <c r="A16" s="44" t="s">
        <v>204</v>
      </c>
      <c r="B16" s="44" t="s">
        <v>205</v>
      </c>
      <c r="C16" s="44" t="s">
        <v>206</v>
      </c>
      <c r="D16" s="44" t="s">
        <v>182</v>
      </c>
      <c r="E16" s="44" t="s">
        <v>184</v>
      </c>
      <c r="F16" s="44" t="s">
        <v>207</v>
      </c>
      <c r="G16" s="44" t="s">
        <v>208</v>
      </c>
      <c r="H16" s="44" t="s">
        <v>209</v>
      </c>
      <c r="I16" s="44" t="s">
        <v>210</v>
      </c>
      <c r="J16" s="44" t="s">
        <v>211</v>
      </c>
      <c r="K16" s="44" t="s">
        <v>212</v>
      </c>
      <c r="L16" s="44" t="s">
        <v>213</v>
      </c>
      <c r="M16" s="44" t="s">
        <v>214</v>
      </c>
    </row>
    <row r="17" spans="1:13" x14ac:dyDescent="0.2">
      <c r="A17" s="46" t="s">
        <v>190</v>
      </c>
      <c r="B17" s="2">
        <f ca="1">'WMT Equity Beta'!H2</f>
        <v>1.0645001321833978</v>
      </c>
      <c r="C17" s="2">
        <f ca="1">'WMT Equity Beta'!H3</f>
        <v>0.14129261254134823</v>
      </c>
      <c r="D17" s="56">
        <f>'Comps List'!H13</f>
        <v>6.6536756612025114E-2</v>
      </c>
      <c r="E17">
        <f>'Comps List'!J13</f>
        <v>0.2</v>
      </c>
      <c r="F17" s="2">
        <f ca="1">(B17+(E17*D17))/(1+D17)</f>
        <v>1.0105675934972747</v>
      </c>
      <c r="G17" s="57">
        <f>Assumptions!$B$11*'Comps List'!G13</f>
        <v>14263.26</v>
      </c>
      <c r="H17" s="57">
        <f>'Comps List'!F13-'1c. Sector Based Comps Analysis'!G17</f>
        <v>-3536.26</v>
      </c>
      <c r="I17" s="57">
        <f>'Comps List'!D13</f>
        <v>1008390</v>
      </c>
      <c r="J17" s="2">
        <f>IF(H17&gt;0,I17/(I17-H17),1)</f>
        <v>1</v>
      </c>
      <c r="K17" s="2">
        <f ca="1">F17*J17</f>
        <v>1.0105675934972747</v>
      </c>
      <c r="L17" s="2">
        <f ca="1">K17-(C17*Assumptions!$B$45)</f>
        <v>0.93992128722660051</v>
      </c>
      <c r="M17" s="2">
        <f ca="1">K17+(C17*Assumptions!$B$45)</f>
        <v>1.0812138997679488</v>
      </c>
    </row>
    <row r="18" spans="1:13" x14ac:dyDescent="0.2">
      <c r="A18" s="52" t="s">
        <v>192</v>
      </c>
      <c r="B18" s="58">
        <f ca="1">'COST Equity Beta'!H2</f>
        <v>0.98168361234776746</v>
      </c>
      <c r="C18" s="58">
        <f ca="1">'COST Equity Beta'!H3</f>
        <v>0.1411115204959898</v>
      </c>
      <c r="D18" s="59">
        <f>'Comps List'!H14</f>
        <v>2.2206427011598303E-2</v>
      </c>
      <c r="E18" s="55">
        <f>'Comps List'!J14</f>
        <v>0.5</v>
      </c>
      <c r="F18" s="58">
        <f ca="1">(B18+(E18*D18))/(1+D18)</f>
        <v>0.97121951067746726</v>
      </c>
      <c r="G18" s="60">
        <f>Assumptions!$B$11*'Comps List'!G14</f>
        <v>5504.7</v>
      </c>
      <c r="H18" s="60">
        <f>'Comps List'!F14-'1c. Sector Based Comps Analysis'!G18</f>
        <v>9779.2999999999993</v>
      </c>
      <c r="I18" s="60">
        <f>'Comps List'!D14</f>
        <v>447393</v>
      </c>
      <c r="J18" s="58">
        <f>IF(H18&gt;0,I18/(I18-H18),1)</f>
        <v>1.0223468780799139</v>
      </c>
      <c r="K18" s="58">
        <f ca="1">F18*J18</f>
        <v>0.99292323467141019</v>
      </c>
      <c r="L18" s="58">
        <f ca="1">K18-(C18*Assumptions!$B$45)</f>
        <v>0.92236747442341527</v>
      </c>
      <c r="M18" s="58">
        <f ca="1">K18+(C18*Assumptions!$B$45)</f>
        <v>1.063478994919405</v>
      </c>
    </row>
    <row r="19" spans="1:13" x14ac:dyDescent="0.2">
      <c r="A19" s="51" t="s">
        <v>224</v>
      </c>
      <c r="B19" s="2"/>
      <c r="C19" s="2"/>
      <c r="D19" s="56"/>
      <c r="F19" s="2"/>
      <c r="G19" s="57"/>
      <c r="H19" s="57"/>
      <c r="I19" s="57"/>
      <c r="J19" s="2"/>
      <c r="K19" s="2">
        <f ca="1">AVERAGE(K17:K18)</f>
        <v>1.0017454140843425</v>
      </c>
      <c r="L19" s="2"/>
      <c r="M19" s="2"/>
    </row>
    <row r="21" spans="1:13" x14ac:dyDescent="0.2">
      <c r="A21" s="40" t="s">
        <v>226</v>
      </c>
    </row>
    <row r="22" spans="1:13" x14ac:dyDescent="0.2">
      <c r="A22" s="44" t="s">
        <v>204</v>
      </c>
      <c r="B22" s="44" t="s">
        <v>205</v>
      </c>
      <c r="C22" s="44" t="s">
        <v>206</v>
      </c>
      <c r="D22" s="44" t="s">
        <v>182</v>
      </c>
      <c r="E22" s="44" t="s">
        <v>184</v>
      </c>
      <c r="F22" s="44" t="s">
        <v>207</v>
      </c>
      <c r="G22" s="44" t="s">
        <v>208</v>
      </c>
      <c r="H22" s="44" t="s">
        <v>209</v>
      </c>
      <c r="I22" s="44" t="s">
        <v>210</v>
      </c>
      <c r="J22" s="44" t="s">
        <v>211</v>
      </c>
      <c r="K22" s="44" t="s">
        <v>212</v>
      </c>
      <c r="L22" s="44" t="s">
        <v>213</v>
      </c>
      <c r="M22" s="44" t="s">
        <v>214</v>
      </c>
    </row>
    <row r="23" spans="1:13" x14ac:dyDescent="0.2">
      <c r="A23" s="46" t="s">
        <v>194</v>
      </c>
      <c r="B23" s="2">
        <f ca="1">'MSFT Equity Beta'!H2</f>
        <v>1.0757582425532266</v>
      </c>
      <c r="C23" s="2">
        <f ca="1">'MSFT Equity Beta'!H3</f>
        <v>0.13447305450241648</v>
      </c>
      <c r="D23" s="56">
        <f>'Comps List'!H15</f>
        <v>3.8194068520807159E-2</v>
      </c>
      <c r="E23">
        <f>'Comps List'!J15</f>
        <v>0.5</v>
      </c>
      <c r="F23" s="2">
        <f ca="1">(B23+(E23*D23))/(1+D23)</f>
        <v>1.054576701997106</v>
      </c>
      <c r="G23" s="57">
        <f>Assumptions!$B$11*'Comps List'!G15</f>
        <v>5634.4800000000005</v>
      </c>
      <c r="H23" s="57">
        <f>'Comps List'!F15-'1c. Sector Based Comps Analysis'!G23</f>
        <v>88930.52</v>
      </c>
      <c r="I23" s="57">
        <f>'Comps List'!D15</f>
        <v>2937210</v>
      </c>
      <c r="J23" s="2">
        <f>IF(H23&gt;0,I23/(I23-H23),1)</f>
        <v>1.0312225400015873</v>
      </c>
      <c r="K23" s="2">
        <f ca="1">F23*J23</f>
        <v>1.0875032652599526</v>
      </c>
      <c r="L23" s="2">
        <f ca="1">K23-(C23*Assumptions!$B$45)</f>
        <v>1.0202667380087442</v>
      </c>
      <c r="M23" s="2">
        <f ca="1">K23+(C23*Assumptions!$B$45)</f>
        <v>1.1547397925111609</v>
      </c>
    </row>
    <row r="24" spans="1:13" x14ac:dyDescent="0.2">
      <c r="A24" s="52" t="s">
        <v>196</v>
      </c>
      <c r="B24" s="58">
        <f ca="1">'ORCL Equity Beta'!H2</f>
        <v>1.4690356110261793</v>
      </c>
      <c r="C24" s="58">
        <f ca="1">'ORCL Equity Beta'!H3</f>
        <v>0.25078233427551661</v>
      </c>
      <c r="D24" s="59">
        <f>'Comps List'!H16</f>
        <v>0.24423004501192547</v>
      </c>
      <c r="E24" s="55">
        <f>'Comps List'!J16</f>
        <v>0.3</v>
      </c>
      <c r="F24" s="58">
        <f ca="1">(B24+(E24*D24))/(1+D24)</f>
        <v>1.2395654892861669</v>
      </c>
      <c r="G24" s="60">
        <f>Assumptions!$B$11*'Comps List'!G16</f>
        <v>1147.98</v>
      </c>
      <c r="H24" s="60">
        <f>'Comps List'!F16-'1c. Sector Based Comps Analysis'!G24</f>
        <v>10055.02</v>
      </c>
      <c r="I24" s="60">
        <f>'Comps List'!D16</f>
        <v>446104</v>
      </c>
      <c r="J24" s="58">
        <f>IF(H24&gt;0,I24/(I24-H24),1)</f>
        <v>1.0230593819987837</v>
      </c>
      <c r="K24" s="58">
        <f ca="1">F24*J24</f>
        <v>1.2681491034161259</v>
      </c>
      <c r="L24" s="58">
        <f ca="1">K24-(C24*Assumptions!$B$45)</f>
        <v>1.1427579362783675</v>
      </c>
      <c r="M24" s="58">
        <f ca="1">K24+(C24*Assumptions!$B$45)</f>
        <v>1.3935402705538842</v>
      </c>
    </row>
    <row r="25" spans="1:13" ht="14" customHeight="1" x14ac:dyDescent="0.2">
      <c r="A25" s="51" t="s">
        <v>224</v>
      </c>
      <c r="D25" s="56"/>
      <c r="F25" s="2"/>
      <c r="G25" s="57"/>
      <c r="H25" s="57"/>
      <c r="I25" s="57"/>
      <c r="J25" s="2"/>
      <c r="K25" s="2">
        <f ca="1">AVERAGE(K23:K24)</f>
        <v>1.1778261843380391</v>
      </c>
      <c r="L25" s="2"/>
      <c r="M25" s="2"/>
    </row>
    <row r="27" spans="1:13" x14ac:dyDescent="0.2">
      <c r="A27" s="51" t="s">
        <v>199</v>
      </c>
    </row>
    <row r="28" spans="1:13" x14ac:dyDescent="0.2">
      <c r="A28" s="44"/>
      <c r="B28" s="44"/>
      <c r="C28" s="44"/>
      <c r="D28" s="44"/>
      <c r="E28" s="44"/>
      <c r="F28" s="44"/>
      <c r="G28" s="44"/>
      <c r="H28" s="44"/>
      <c r="I28" s="44"/>
      <c r="J28" s="44"/>
      <c r="K28" s="44"/>
      <c r="L28" s="44"/>
      <c r="M28" s="44"/>
    </row>
    <row r="29" spans="1:13" x14ac:dyDescent="0.2">
      <c r="A29" s="44" t="s">
        <v>204</v>
      </c>
      <c r="B29" s="44" t="s">
        <v>205</v>
      </c>
      <c r="C29" s="44" t="s">
        <v>206</v>
      </c>
      <c r="D29" s="44" t="s">
        <v>182</v>
      </c>
      <c r="E29" s="44" t="s">
        <v>184</v>
      </c>
      <c r="F29" s="44" t="s">
        <v>207</v>
      </c>
      <c r="G29" s="44" t="s">
        <v>208</v>
      </c>
      <c r="H29" s="44" t="s">
        <v>209</v>
      </c>
      <c r="I29" s="44" t="s">
        <v>210</v>
      </c>
      <c r="J29" s="44" t="s">
        <v>211</v>
      </c>
      <c r="K29" s="44" t="s">
        <v>212</v>
      </c>
      <c r="L29" s="44" t="s">
        <v>213</v>
      </c>
      <c r="M29" s="44" t="s">
        <v>214</v>
      </c>
    </row>
    <row r="30" spans="1:13" x14ac:dyDescent="0.2">
      <c r="A30" s="46" t="s">
        <v>201</v>
      </c>
      <c r="B30" s="2">
        <f ca="1">'AMZN Equity Beta'!H2</f>
        <v>1.4366578437862212</v>
      </c>
      <c r="C30" s="2">
        <f ca="1">'AMZN Equity Beta'!H3</f>
        <v>0.18577244049312469</v>
      </c>
      <c r="D30" s="56">
        <f>'Comps List'!H26</f>
        <v>7.6226831500188399E-2</v>
      </c>
      <c r="E30">
        <f>'Comps List'!J26</f>
        <v>0.2</v>
      </c>
      <c r="F30" s="2">
        <f ca="1">(B30+(E30*D30))/(1+D30)</f>
        <v>1.3490680287745684</v>
      </c>
      <c r="G30" s="57">
        <f>Assumptions!$B$11*'Comps List'!G26</f>
        <v>14338.48</v>
      </c>
      <c r="H30" s="57">
        <f>'Comps List'!F26-'1c. Sector Based Comps Analysis'!G30</f>
        <v>108990.52</v>
      </c>
      <c r="I30" s="57">
        <f>'Comps List'!D26</f>
        <v>2229320</v>
      </c>
      <c r="J30" s="2">
        <f>IF(H30&gt;0,I30/(I30-H30),1)</f>
        <v>1.0514026338963132</v>
      </c>
      <c r="K30" s="2">
        <f ca="1">F30*J30</f>
        <v>1.4184136787588884</v>
      </c>
      <c r="L30" s="2">
        <f ca="1">K30-(C30*Assumptions!$B$45)</f>
        <v>1.325527458512326</v>
      </c>
      <c r="M30" s="2">
        <f ca="1">K30+(C30*Assumptions!$B$45)</f>
        <v>1.5112998990054507</v>
      </c>
    </row>
    <row r="32" spans="1:13" x14ac:dyDescent="0.2">
      <c r="A32" s="40" t="s">
        <v>248</v>
      </c>
    </row>
    <row r="34" spans="1:5" x14ac:dyDescent="0.2">
      <c r="A34" s="65" t="s">
        <v>227</v>
      </c>
      <c r="B34" s="65" t="s">
        <v>228</v>
      </c>
      <c r="C34" s="65" t="s">
        <v>229</v>
      </c>
      <c r="D34" s="65" t="s">
        <v>230</v>
      </c>
      <c r="E34" s="65" t="s">
        <v>231</v>
      </c>
    </row>
    <row r="35" spans="1:5" x14ac:dyDescent="0.2">
      <c r="A35" t="s">
        <v>232</v>
      </c>
      <c r="B35" s="57">
        <v>426305</v>
      </c>
      <c r="C35" s="3">
        <f>B35/$B$38</f>
        <v>0.59463067214934917</v>
      </c>
      <c r="D35" s="2">
        <f ca="1">C35*K13</f>
        <v>0.48117678578519874</v>
      </c>
      <c r="E35" s="2">
        <f ca="1">_xlfn.STDEV.S(K11:K12)/SQRT(COUNT(K11:K12))</f>
        <v>0.64940580726114783</v>
      </c>
    </row>
    <row r="36" spans="1:5" x14ac:dyDescent="0.2">
      <c r="A36" s="55" t="s">
        <v>233</v>
      </c>
      <c r="B36" s="60">
        <v>161894</v>
      </c>
      <c r="C36" s="97">
        <f t="shared" ref="C36:C37" si="3">B36/$B$38</f>
        <v>0.22581752040662609</v>
      </c>
      <c r="D36" s="58">
        <f ca="1">C36*K19</f>
        <v>0.22621166548723512</v>
      </c>
      <c r="E36" s="58">
        <f ca="1">_xlfn.STDEV.S(K17:K18)/SQRT(COUNT(K17:K18))</f>
        <v>8.8221794129322295E-3</v>
      </c>
    </row>
    <row r="37" spans="1:5" x14ac:dyDescent="0.2">
      <c r="A37" t="s">
        <v>234</v>
      </c>
      <c r="B37" s="57">
        <v>128725</v>
      </c>
      <c r="C37" s="3">
        <f t="shared" si="3"/>
        <v>0.17955180744402474</v>
      </c>
      <c r="D37" s="2">
        <f ca="1">C37*K25</f>
        <v>0.21148082025279399</v>
      </c>
      <c r="E37" s="2">
        <f ca="1">_xlfn.STDEV.S(K23:K24)/SQRT(COUNT(K23:K24))</f>
        <v>9.0322919078086636E-2</v>
      </c>
    </row>
    <row r="38" spans="1:5" x14ac:dyDescent="0.2">
      <c r="A38" s="55" t="s">
        <v>235</v>
      </c>
      <c r="B38" s="60">
        <f>SUM(B35:B37)</f>
        <v>716924</v>
      </c>
      <c r="D38" s="57"/>
    </row>
    <row r="39" spans="1:5" x14ac:dyDescent="0.2">
      <c r="A39" s="40"/>
      <c r="D39" s="57"/>
    </row>
    <row r="40" spans="1:5" x14ac:dyDescent="0.2">
      <c r="A40" s="40" t="s">
        <v>236</v>
      </c>
      <c r="B40" s="2">
        <f ca="1">SUM(D35:D37)</f>
        <v>0.9188692715252279</v>
      </c>
    </row>
    <row r="41" spans="1:5" ht="16" thickBot="1" x14ac:dyDescent="0.25"/>
    <row r="42" spans="1:5" ht="16" thickBot="1" x14ac:dyDescent="0.25">
      <c r="A42" s="85" t="s">
        <v>216</v>
      </c>
      <c r="B42" s="86">
        <f ca="1">B40*(1+D30)-(E30*D30)</f>
        <v>0.97366639835644464</v>
      </c>
    </row>
    <row r="43" spans="1:5" x14ac:dyDescent="0.2">
      <c r="A43" s="40"/>
    </row>
    <row r="44" spans="1:5" x14ac:dyDescent="0.2">
      <c r="A44" s="40" t="s">
        <v>237</v>
      </c>
      <c r="B44" s="2">
        <f ca="1">SQRT((C35^2*E35^2)+(C36^2*E36^2)+(C37^2*E37^2))</f>
        <v>0.38650214690750118</v>
      </c>
    </row>
    <row r="45" spans="1:5" ht="16" thickBot="1" x14ac:dyDescent="0.25"/>
    <row r="46" spans="1:5" x14ac:dyDescent="0.2">
      <c r="A46" s="81" t="s">
        <v>220</v>
      </c>
      <c r="B46" s="82">
        <f ca="1">B42-(Assumptions!B45*B44)</f>
        <v>0.78041532490269405</v>
      </c>
    </row>
    <row r="47" spans="1:5" ht="16" thickBot="1" x14ac:dyDescent="0.25">
      <c r="A47" s="83" t="s">
        <v>221</v>
      </c>
      <c r="B47" s="87">
        <f ca="1">B42+(Assumptions!B45*B44)</f>
        <v>1.1669174718101951</v>
      </c>
    </row>
  </sheetData>
  <pageMargins left="0.7" right="0.7" top="0.75" bottom="0.75" header="0.3" footer="0.3"/>
  <pageSetup orientation="portrait" horizontalDpi="0" verticalDpi="0"/>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978F0-063B-8A4E-8393-47020F7E0D8B}">
  <dimension ref="A1:D71"/>
  <sheetViews>
    <sheetView showGridLines="0" zoomScale="96" zoomScaleNormal="96" workbookViewId="0">
      <selection activeCell="J38" sqref="J38"/>
    </sheetView>
  </sheetViews>
  <sheetFormatPr baseColWidth="10" defaultRowHeight="15" x14ac:dyDescent="0.2"/>
  <cols>
    <col min="1" max="1" width="48.6640625" bestFit="1" customWidth="1"/>
  </cols>
  <sheetData>
    <row r="1" spans="1:4" x14ac:dyDescent="0.2">
      <c r="A1" s="62"/>
      <c r="B1" s="62"/>
      <c r="C1" s="62"/>
      <c r="D1" s="62"/>
    </row>
    <row r="2" spans="1:4" x14ac:dyDescent="0.2">
      <c r="A2" s="63" t="s">
        <v>171</v>
      </c>
      <c r="B2" s="62"/>
      <c r="C2" s="62"/>
      <c r="D2" s="62"/>
    </row>
    <row r="3" spans="1:4" x14ac:dyDescent="0.2">
      <c r="A3" s="63" t="s">
        <v>172</v>
      </c>
      <c r="B3" s="62"/>
      <c r="C3" s="62"/>
      <c r="D3" s="62"/>
    </row>
    <row r="4" spans="1:4" x14ac:dyDescent="0.2">
      <c r="A4" s="63" t="s">
        <v>270</v>
      </c>
      <c r="B4" s="62"/>
      <c r="C4" s="62"/>
      <c r="D4" s="62"/>
    </row>
    <row r="5" spans="1:4" x14ac:dyDescent="0.2">
      <c r="A5" s="62"/>
      <c r="B5" s="62"/>
      <c r="C5" s="62"/>
      <c r="D5" s="62"/>
    </row>
    <row r="7" spans="1:4" x14ac:dyDescent="0.2">
      <c r="A7" s="71" t="s">
        <v>249</v>
      </c>
    </row>
    <row r="9" spans="1:4" x14ac:dyDescent="0.2">
      <c r="A9" t="s">
        <v>254</v>
      </c>
      <c r="B9" s="3">
        <f>MRP</f>
        <v>8.8628282828282834E-2</v>
      </c>
    </row>
    <row r="10" spans="1:4" x14ac:dyDescent="0.2">
      <c r="A10" t="s">
        <v>251</v>
      </c>
      <c r="B10" s="3">
        <f>MRP-MRPSE*Scalar</f>
        <v>7.8514745672189981E-2</v>
      </c>
    </row>
    <row r="11" spans="1:4" x14ac:dyDescent="0.2">
      <c r="A11" t="s">
        <v>252</v>
      </c>
      <c r="B11" s="3">
        <f>MRP+MRPSE*Scalar</f>
        <v>9.8741819984375687E-2</v>
      </c>
    </row>
    <row r="13" spans="1:4" x14ac:dyDescent="0.2">
      <c r="A13" s="71" t="s">
        <v>253</v>
      </c>
    </row>
    <row r="15" spans="1:4" x14ac:dyDescent="0.2">
      <c r="A15" t="s">
        <v>254</v>
      </c>
      <c r="B15" s="3">
        <f>'MRP Scenario Analysis'!C14</f>
        <v>7.7500000000000013E-2</v>
      </c>
    </row>
    <row r="16" spans="1:4" x14ac:dyDescent="0.2">
      <c r="A16" t="s">
        <v>251</v>
      </c>
      <c r="B16" s="3">
        <f>'MRP Scenario Analysis'!C14-'MRP Scenario Analysis'!F14*Scalar</f>
        <v>6.4603510382881549E-2</v>
      </c>
    </row>
    <row r="17" spans="1:2" x14ac:dyDescent="0.2">
      <c r="A17" t="s">
        <v>255</v>
      </c>
      <c r="B17" s="3">
        <f>'MRP Scenario Analysis'!C14+'MRP Scenario Analysis'!F14*Scalar</f>
        <v>9.0396489617118478E-2</v>
      </c>
    </row>
    <row r="19" spans="1:2" x14ac:dyDescent="0.2">
      <c r="A19" s="40" t="s">
        <v>256</v>
      </c>
    </row>
    <row r="20" spans="1:2" ht="16" thickBot="1" x14ac:dyDescent="0.25">
      <c r="A20" s="40"/>
    </row>
    <row r="21" spans="1:2" x14ac:dyDescent="0.2">
      <c r="A21" s="73" t="s">
        <v>238</v>
      </c>
      <c r="B21" s="82" cm="1">
        <f t="array" aca="1" ref="B21" ca="1">amznbeta</f>
        <v>1.4366578437862212</v>
      </c>
    </row>
    <row r="22" spans="1:2" x14ac:dyDescent="0.2">
      <c r="A22" s="107" t="s">
        <v>250</v>
      </c>
      <c r="B22" s="108">
        <f>$B$9</f>
        <v>8.8628282828282834E-2</v>
      </c>
    </row>
    <row r="23" spans="1:2" x14ac:dyDescent="0.2">
      <c r="A23" s="75" t="s">
        <v>262</v>
      </c>
      <c r="B23" s="79" cm="1">
        <f t="array" ref="B23">RF</f>
        <v>4.2826000000000003E-2</v>
      </c>
    </row>
    <row r="24" spans="1:2" x14ac:dyDescent="0.2">
      <c r="A24" s="107" t="s">
        <v>263</v>
      </c>
      <c r="B24" s="108">
        <f ca="1">B23+(B22*B21)</f>
        <v>0.17015451770655618</v>
      </c>
    </row>
    <row r="25" spans="1:2" x14ac:dyDescent="0.2">
      <c r="A25" s="75" t="s">
        <v>264</v>
      </c>
      <c r="B25" s="79">
        <f ca="1">B23+($B$10*B21)</f>
        <v>0.155624825222832</v>
      </c>
    </row>
    <row r="26" spans="1:2" ht="16" thickBot="1" x14ac:dyDescent="0.25">
      <c r="A26" s="109" t="s">
        <v>265</v>
      </c>
      <c r="B26" s="110">
        <f ca="1">B23+($B$11*B21)</f>
        <v>0.18468421019028039</v>
      </c>
    </row>
    <row r="28" spans="1:2" x14ac:dyDescent="0.2">
      <c r="A28" s="40" t="s">
        <v>257</v>
      </c>
    </row>
    <row r="29" spans="1:2" ht="16" thickBot="1" x14ac:dyDescent="0.25">
      <c r="A29" s="40"/>
    </row>
    <row r="30" spans="1:2" x14ac:dyDescent="0.2">
      <c r="A30" s="73" t="s">
        <v>238</v>
      </c>
      <c r="B30" s="82" cm="1">
        <f t="array" aca="1" ref="B30" ca="1">beta1b</f>
        <v>0.95925014565733557</v>
      </c>
    </row>
    <row r="31" spans="1:2" x14ac:dyDescent="0.2">
      <c r="A31" s="107" t="s">
        <v>250</v>
      </c>
      <c r="B31" s="108">
        <f>$B$9</f>
        <v>8.8628282828282834E-2</v>
      </c>
    </row>
    <row r="32" spans="1:2" x14ac:dyDescent="0.2">
      <c r="A32" s="75" t="s">
        <v>262</v>
      </c>
      <c r="B32" s="79" cm="1">
        <f t="array" ref="B32">RF</f>
        <v>4.2826000000000003E-2</v>
      </c>
    </row>
    <row r="33" spans="1:2" x14ac:dyDescent="0.2">
      <c r="A33" s="107" t="s">
        <v>263</v>
      </c>
      <c r="B33" s="108">
        <f ca="1">B32+(B31*B30)</f>
        <v>0.12784269321238984</v>
      </c>
    </row>
    <row r="34" spans="1:2" x14ac:dyDescent="0.2">
      <c r="A34" s="75" t="s">
        <v>264</v>
      </c>
      <c r="B34" s="79">
        <f ca="1">B32+($B$10*B30)</f>
        <v>0.1181412812222969</v>
      </c>
    </row>
    <row r="35" spans="1:2" ht="16" thickBot="1" x14ac:dyDescent="0.25">
      <c r="A35" s="109" t="s">
        <v>265</v>
      </c>
      <c r="B35" s="110">
        <f ca="1">B32+($B$11*B30)</f>
        <v>0.13754410520248278</v>
      </c>
    </row>
    <row r="37" spans="1:2" x14ac:dyDescent="0.2">
      <c r="A37" s="40" t="s">
        <v>258</v>
      </c>
    </row>
    <row r="38" spans="1:2" ht="16" thickBot="1" x14ac:dyDescent="0.25"/>
    <row r="39" spans="1:2" x14ac:dyDescent="0.2">
      <c r="A39" s="73" t="s">
        <v>238</v>
      </c>
      <c r="B39" s="82" cm="1">
        <f t="array" aca="1" ref="B39" ca="1">beta1c</f>
        <v>0.97366639835644464</v>
      </c>
    </row>
    <row r="40" spans="1:2" x14ac:dyDescent="0.2">
      <c r="A40" s="107" t="s">
        <v>250</v>
      </c>
      <c r="B40" s="108">
        <f>$B$9</f>
        <v>8.8628282828282834E-2</v>
      </c>
    </row>
    <row r="41" spans="1:2" x14ac:dyDescent="0.2">
      <c r="A41" s="75" t="s">
        <v>262</v>
      </c>
      <c r="B41" s="79" cm="1">
        <f t="array" ref="B41">RF</f>
        <v>4.2826000000000003E-2</v>
      </c>
    </row>
    <row r="42" spans="1:2" x14ac:dyDescent="0.2">
      <c r="A42" s="107" t="s">
        <v>263</v>
      </c>
      <c r="B42" s="108">
        <f ca="1">B41+(B40*B39)</f>
        <v>0.12912038093393047</v>
      </c>
    </row>
    <row r="43" spans="1:2" x14ac:dyDescent="0.2">
      <c r="A43" s="75" t="s">
        <v>264</v>
      </c>
      <c r="B43" s="79">
        <f ca="1">B41+($B$10*B39)</f>
        <v>0.11927316963651347</v>
      </c>
    </row>
    <row r="44" spans="1:2" ht="16" thickBot="1" x14ac:dyDescent="0.25">
      <c r="A44" s="109" t="s">
        <v>265</v>
      </c>
      <c r="B44" s="110">
        <f ca="1">B41+($B$11*B39)</f>
        <v>0.13896759223134747</v>
      </c>
    </row>
    <row r="46" spans="1:2" x14ac:dyDescent="0.2">
      <c r="A46" s="40" t="s">
        <v>260</v>
      </c>
    </row>
    <row r="47" spans="1:2" ht="16" thickBot="1" x14ac:dyDescent="0.25">
      <c r="A47" s="40"/>
    </row>
    <row r="48" spans="1:2" x14ac:dyDescent="0.2">
      <c r="A48" s="73" t="s">
        <v>238</v>
      </c>
      <c r="B48" s="82" cm="1">
        <f t="array" aca="1" ref="B48" ca="1">amznbeta</f>
        <v>1.4366578437862212</v>
      </c>
    </row>
    <row r="49" spans="1:2" x14ac:dyDescent="0.2">
      <c r="A49" s="107" t="s">
        <v>250</v>
      </c>
      <c r="B49" s="108" cm="1">
        <f t="array" ref="B49">SMRP</f>
        <v>7.7500000000000013E-2</v>
      </c>
    </row>
    <row r="50" spans="1:2" x14ac:dyDescent="0.2">
      <c r="A50" s="75" t="s">
        <v>262</v>
      </c>
      <c r="B50" s="79" cm="1">
        <f t="array" ref="B50">RF</f>
        <v>4.2826000000000003E-2</v>
      </c>
    </row>
    <row r="51" spans="1:2" x14ac:dyDescent="0.2">
      <c r="A51" s="107" t="s">
        <v>263</v>
      </c>
      <c r="B51" s="108">
        <f ca="1">B50+(B49*B48)</f>
        <v>0.15416698289343217</v>
      </c>
    </row>
    <row r="52" spans="1:2" x14ac:dyDescent="0.2">
      <c r="A52" s="75" t="s">
        <v>264</v>
      </c>
      <c r="B52" s="79" cm="1">
        <f t="array" aca="1" ref="B52" ca="1">B50+(SMRPL*B48)</f>
        <v>0.13563913992769136</v>
      </c>
    </row>
    <row r="53" spans="1:2" ht="16" thickBot="1" x14ac:dyDescent="0.25">
      <c r="A53" s="109" t="s">
        <v>265</v>
      </c>
      <c r="B53" s="110" cm="1">
        <f t="array" aca="1" ref="B53" ca="1">B50+(SMRPH*B48)</f>
        <v>0.17269482585917298</v>
      </c>
    </row>
    <row r="55" spans="1:2" x14ac:dyDescent="0.2">
      <c r="A55" s="72" t="s">
        <v>259</v>
      </c>
    </row>
    <row r="56" spans="1:2" ht="16" thickBot="1" x14ac:dyDescent="0.25"/>
    <row r="57" spans="1:2" x14ac:dyDescent="0.2">
      <c r="A57" s="73" t="s">
        <v>238</v>
      </c>
      <c r="B57" s="82" cm="1">
        <f t="array" aca="1" ref="B57" ca="1">beta1b</f>
        <v>0.95925014565733557</v>
      </c>
    </row>
    <row r="58" spans="1:2" x14ac:dyDescent="0.2">
      <c r="A58" s="107" t="s">
        <v>250</v>
      </c>
      <c r="B58" s="108" cm="1">
        <f t="array" ref="B58">SMRP</f>
        <v>7.7500000000000013E-2</v>
      </c>
    </row>
    <row r="59" spans="1:2" x14ac:dyDescent="0.2">
      <c r="A59" s="75" t="s">
        <v>262</v>
      </c>
      <c r="B59" s="79" cm="1">
        <f t="array" ref="B59">RF</f>
        <v>4.2826000000000003E-2</v>
      </c>
    </row>
    <row r="60" spans="1:2" x14ac:dyDescent="0.2">
      <c r="A60" s="107" t="s">
        <v>263</v>
      </c>
      <c r="B60" s="108">
        <f ca="1">B59+(B58*B57)</f>
        <v>0.11716788628844352</v>
      </c>
    </row>
    <row r="61" spans="1:2" x14ac:dyDescent="0.2">
      <c r="A61" s="75" t="s">
        <v>264</v>
      </c>
      <c r="B61" s="79" cm="1">
        <f t="array" aca="1" ref="B61" ca="1">B59+(SMRPL*B57)</f>
        <v>0.10479692674475433</v>
      </c>
    </row>
    <row r="62" spans="1:2" ht="16" thickBot="1" x14ac:dyDescent="0.25">
      <c r="A62" s="109" t="s">
        <v>265</v>
      </c>
      <c r="B62" s="110" cm="1">
        <f t="array" aca="1" ref="B62" ca="1">B59+(SMRPH*B57)</f>
        <v>0.12953884583213271</v>
      </c>
    </row>
    <row r="64" spans="1:2" x14ac:dyDescent="0.2">
      <c r="A64" s="72" t="s">
        <v>261</v>
      </c>
    </row>
    <row r="65" spans="1:2" ht="16" thickBot="1" x14ac:dyDescent="0.25"/>
    <row r="66" spans="1:2" x14ac:dyDescent="0.2">
      <c r="A66" s="73" t="s">
        <v>238</v>
      </c>
      <c r="B66" s="82" cm="1">
        <f t="array" aca="1" ref="B66" ca="1">beta1c</f>
        <v>0.97366639835644464</v>
      </c>
    </row>
    <row r="67" spans="1:2" x14ac:dyDescent="0.2">
      <c r="A67" s="107" t="s">
        <v>250</v>
      </c>
      <c r="B67" s="108" cm="1">
        <f t="array" ref="B67">SMRP</f>
        <v>7.7500000000000013E-2</v>
      </c>
    </row>
    <row r="68" spans="1:2" x14ac:dyDescent="0.2">
      <c r="A68" s="75" t="s">
        <v>262</v>
      </c>
      <c r="B68" s="79" cm="1">
        <f t="array" ref="B68">RF</f>
        <v>4.2826000000000003E-2</v>
      </c>
    </row>
    <row r="69" spans="1:2" x14ac:dyDescent="0.2">
      <c r="A69" s="107" t="s">
        <v>263</v>
      </c>
      <c r="B69" s="108">
        <f ca="1">B68+(B67*B66)</f>
        <v>0.11828514587262448</v>
      </c>
    </row>
    <row r="70" spans="1:2" x14ac:dyDescent="0.2">
      <c r="A70" s="75" t="s">
        <v>264</v>
      </c>
      <c r="B70" s="79" cm="1">
        <f t="array" aca="1" ref="B70" ca="1">B68+(SMRPL*B66)</f>
        <v>0.10572826727568346</v>
      </c>
    </row>
    <row r="71" spans="1:2" ht="16" thickBot="1" x14ac:dyDescent="0.25">
      <c r="A71" s="109" t="s">
        <v>265</v>
      </c>
      <c r="B71" s="110" cm="1">
        <f t="array" aca="1" ref="B71" ca="1">B68+(SMRPH*B66)</f>
        <v>0.1308420244695655</v>
      </c>
    </row>
  </sheetData>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33BC0-8055-45DF-8250-FEC7EFA40700}">
  <dimension ref="B2:G100"/>
  <sheetViews>
    <sheetView showGridLines="0" topLeftCell="A69" workbookViewId="0">
      <selection activeCell="G106" sqref="G106"/>
    </sheetView>
  </sheetViews>
  <sheetFormatPr baseColWidth="10" defaultColWidth="8.83203125" defaultRowHeight="15" x14ac:dyDescent="0.2"/>
  <cols>
    <col min="2" max="2" width="36.5" bestFit="1" customWidth="1"/>
    <col min="3" max="3" width="18.5" bestFit="1" customWidth="1"/>
    <col min="4" max="4" width="13.5" bestFit="1" customWidth="1"/>
    <col min="5" max="5" width="12.83203125" bestFit="1" customWidth="1"/>
    <col min="6" max="6" width="11" bestFit="1" customWidth="1"/>
    <col min="7" max="7" width="28" bestFit="1" customWidth="1"/>
  </cols>
  <sheetData>
    <row r="2" spans="2:7" x14ac:dyDescent="0.2">
      <c r="B2" s="11" t="s">
        <v>40</v>
      </c>
      <c r="C2" s="12" t="s">
        <v>41</v>
      </c>
      <c r="D2" s="12" t="s">
        <v>42</v>
      </c>
      <c r="E2" s="12" t="s">
        <v>43</v>
      </c>
      <c r="F2" s="12" t="s">
        <v>44</v>
      </c>
      <c r="G2" s="12" t="s">
        <v>45</v>
      </c>
    </row>
    <row r="3" spans="2:7" ht="16" x14ac:dyDescent="0.2">
      <c r="B3" s="4" t="s">
        <v>46</v>
      </c>
      <c r="C3" s="5">
        <v>52</v>
      </c>
      <c r="D3" s="5">
        <v>1.64</v>
      </c>
      <c r="E3" s="6">
        <v>-3.0000000000000001E-3</v>
      </c>
      <c r="F3" s="5">
        <v>2.12</v>
      </c>
      <c r="G3" s="6">
        <v>0.10050000000000001</v>
      </c>
    </row>
    <row r="4" spans="2:7" ht="16" x14ac:dyDescent="0.2">
      <c r="B4" s="8" t="s">
        <v>47</v>
      </c>
      <c r="C4" s="9">
        <v>79</v>
      </c>
      <c r="D4" s="9">
        <v>3.17</v>
      </c>
      <c r="E4" s="10">
        <v>4.99E-2</v>
      </c>
      <c r="F4" s="9">
        <v>3.57</v>
      </c>
      <c r="G4" s="10">
        <v>8.6999999999999994E-2</v>
      </c>
    </row>
    <row r="5" spans="2:7" ht="16" x14ac:dyDescent="0.2">
      <c r="B5" s="4" t="s">
        <v>48</v>
      </c>
      <c r="C5" s="5">
        <v>23</v>
      </c>
      <c r="D5" s="5">
        <v>0.57999999999999996</v>
      </c>
      <c r="E5" s="6">
        <v>2.5100000000000001E-2</v>
      </c>
      <c r="F5" s="5">
        <v>1.03</v>
      </c>
      <c r="G5" s="6">
        <v>4.8800000000000003E-2</v>
      </c>
    </row>
    <row r="6" spans="2:7" ht="16" x14ac:dyDescent="0.2">
      <c r="B6" s="8" t="s">
        <v>49</v>
      </c>
      <c r="C6" s="9">
        <v>35</v>
      </c>
      <c r="D6" s="9">
        <v>1.27</v>
      </c>
      <c r="E6" s="10">
        <v>3.85E-2</v>
      </c>
      <c r="F6" s="9">
        <v>1.59</v>
      </c>
      <c r="G6" s="10">
        <v>9.8900000000000002E-2</v>
      </c>
    </row>
    <row r="7" spans="2:7" ht="16" x14ac:dyDescent="0.2">
      <c r="B7" s="4" t="s">
        <v>50</v>
      </c>
      <c r="C7" s="5">
        <v>33</v>
      </c>
      <c r="D7" s="5">
        <v>3.34</v>
      </c>
      <c r="E7" s="6">
        <v>1.29E-2</v>
      </c>
      <c r="F7" s="5">
        <v>3.88</v>
      </c>
      <c r="G7" s="6">
        <v>2.3800000000000002E-2</v>
      </c>
    </row>
    <row r="8" spans="2:7" ht="16" x14ac:dyDescent="0.2">
      <c r="B8" s="8" t="s">
        <v>51</v>
      </c>
      <c r="C8" s="9">
        <v>35</v>
      </c>
      <c r="D8" s="9">
        <v>0.64</v>
      </c>
      <c r="E8" s="10">
        <v>7.1999999999999998E-3</v>
      </c>
      <c r="F8" s="9">
        <v>0.82</v>
      </c>
      <c r="G8" s="10">
        <v>5.8000000000000003E-2</v>
      </c>
    </row>
    <row r="9" spans="2:7" ht="16" x14ac:dyDescent="0.2">
      <c r="B9" s="4" t="s">
        <v>52</v>
      </c>
      <c r="C9" s="5">
        <v>15</v>
      </c>
      <c r="D9" s="5">
        <v>4.09</v>
      </c>
      <c r="E9" s="6">
        <v>0.28889999999999999</v>
      </c>
      <c r="F9" s="5">
        <v>8.31</v>
      </c>
      <c r="G9" s="6">
        <v>8.0000000000000004E-4</v>
      </c>
    </row>
    <row r="10" spans="2:7" ht="16" x14ac:dyDescent="0.2">
      <c r="B10" s="8" t="s">
        <v>53</v>
      </c>
      <c r="C10" s="9">
        <v>568</v>
      </c>
      <c r="D10" s="9">
        <v>3.67</v>
      </c>
      <c r="E10" s="10">
        <v>0.27489999999999998</v>
      </c>
      <c r="F10" s="9">
        <v>4.28</v>
      </c>
      <c r="G10" s="10">
        <v>-1.1999999999999999E-3</v>
      </c>
    </row>
    <row r="11" spans="2:7" ht="16" x14ac:dyDescent="0.2">
      <c r="B11" s="4" t="s">
        <v>54</v>
      </c>
      <c r="C11" s="5">
        <v>14</v>
      </c>
      <c r="D11" s="5">
        <v>1.75</v>
      </c>
      <c r="E11" s="6">
        <v>5.5999999999999999E-3</v>
      </c>
      <c r="F11" s="5">
        <v>2.4500000000000002</v>
      </c>
      <c r="G11" s="6">
        <v>0.22789999999999999</v>
      </c>
    </row>
    <row r="12" spans="2:7" ht="16" x14ac:dyDescent="0.2">
      <c r="B12" s="8" t="s">
        <v>55</v>
      </c>
      <c r="C12" s="9">
        <v>27</v>
      </c>
      <c r="D12" s="9">
        <v>3.57</v>
      </c>
      <c r="E12" s="10">
        <v>0.13400000000000001</v>
      </c>
      <c r="F12" s="9">
        <v>4.16</v>
      </c>
      <c r="G12" s="10">
        <v>0.20630000000000001</v>
      </c>
    </row>
    <row r="13" spans="2:7" ht="16" x14ac:dyDescent="0.2">
      <c r="B13" s="4" t="s">
        <v>56</v>
      </c>
      <c r="C13" s="5">
        <v>24</v>
      </c>
      <c r="D13" s="5">
        <v>0.83</v>
      </c>
      <c r="E13" s="6">
        <v>2.06E-2</v>
      </c>
      <c r="F13" s="5">
        <v>1.4</v>
      </c>
      <c r="G13" s="6">
        <v>0.1235</v>
      </c>
    </row>
    <row r="14" spans="2:7" ht="16" x14ac:dyDescent="0.2">
      <c r="B14" s="8" t="s">
        <v>57</v>
      </c>
      <c r="C14" s="9">
        <v>32</v>
      </c>
      <c r="D14" s="9">
        <v>2.87</v>
      </c>
      <c r="E14" s="10">
        <v>0.14449999999999999</v>
      </c>
      <c r="F14" s="9">
        <v>5.78</v>
      </c>
      <c r="G14" s="10">
        <v>-1.1999999999999999E-3</v>
      </c>
    </row>
    <row r="15" spans="2:7" ht="16" x14ac:dyDescent="0.2">
      <c r="B15" s="4" t="s">
        <v>58</v>
      </c>
      <c r="C15" s="5">
        <v>41</v>
      </c>
      <c r="D15" s="5">
        <v>1.68</v>
      </c>
      <c r="E15" s="6">
        <v>7.4200000000000002E-2</v>
      </c>
      <c r="F15" s="5">
        <v>2.0499999999999998</v>
      </c>
      <c r="G15" s="6">
        <v>0.128</v>
      </c>
    </row>
    <row r="16" spans="2:7" ht="16" x14ac:dyDescent="0.2">
      <c r="B16" s="8" t="s">
        <v>59</v>
      </c>
      <c r="C16" s="9">
        <v>155</v>
      </c>
      <c r="D16" s="9">
        <v>2.2000000000000002</v>
      </c>
      <c r="E16" s="10">
        <v>7.0300000000000001E-2</v>
      </c>
      <c r="F16" s="9">
        <v>2.5299999999999998</v>
      </c>
      <c r="G16" s="10">
        <v>0.1232</v>
      </c>
    </row>
    <row r="17" spans="2:7" ht="16" x14ac:dyDescent="0.2">
      <c r="B17" s="4" t="s">
        <v>60</v>
      </c>
      <c r="C17" s="5">
        <v>9</v>
      </c>
      <c r="D17" s="5">
        <v>0.86</v>
      </c>
      <c r="E17" s="6">
        <v>7.0800000000000002E-2</v>
      </c>
      <c r="F17" s="5">
        <v>2.06</v>
      </c>
      <c r="G17" s="6">
        <v>0.18240000000000001</v>
      </c>
    </row>
    <row r="18" spans="2:7" ht="16" x14ac:dyDescent="0.2">
      <c r="B18" s="8" t="s">
        <v>61</v>
      </c>
      <c r="C18" s="9">
        <v>29</v>
      </c>
      <c r="D18" s="9">
        <v>0.47</v>
      </c>
      <c r="E18" s="10">
        <v>-3.73E-2</v>
      </c>
      <c r="F18" s="9">
        <v>0.85</v>
      </c>
      <c r="G18" s="10">
        <v>2.86E-2</v>
      </c>
    </row>
    <row r="19" spans="2:7" ht="16" x14ac:dyDescent="0.2">
      <c r="B19" s="4" t="s">
        <v>62</v>
      </c>
      <c r="C19" s="5">
        <v>4</v>
      </c>
      <c r="D19" s="5">
        <v>0.34</v>
      </c>
      <c r="E19" s="6">
        <v>-5.3499999999999999E-2</v>
      </c>
      <c r="F19" s="5">
        <v>0.84</v>
      </c>
      <c r="G19" s="6">
        <v>3.4099999999999998E-2</v>
      </c>
    </row>
    <row r="20" spans="2:7" ht="16" x14ac:dyDescent="0.2">
      <c r="B20" s="8" t="s">
        <v>63</v>
      </c>
      <c r="C20" s="9">
        <v>59</v>
      </c>
      <c r="D20" s="9">
        <v>2.12</v>
      </c>
      <c r="E20" s="10">
        <v>2.9100000000000001E-2</v>
      </c>
      <c r="F20" s="9">
        <v>2.65</v>
      </c>
      <c r="G20" s="10">
        <v>0.1241</v>
      </c>
    </row>
    <row r="21" spans="2:7" ht="16" x14ac:dyDescent="0.2">
      <c r="B21" s="4" t="s">
        <v>64</v>
      </c>
      <c r="C21" s="5">
        <v>16</v>
      </c>
      <c r="D21" s="5">
        <v>2.75</v>
      </c>
      <c r="E21" s="6">
        <v>-2.1299999999999999E-2</v>
      </c>
      <c r="F21" s="5">
        <v>2.54</v>
      </c>
      <c r="G21" s="6">
        <v>-3.8199999999999998E-2</v>
      </c>
    </row>
    <row r="22" spans="2:7" ht="16" x14ac:dyDescent="0.2">
      <c r="B22" s="8" t="s">
        <v>65</v>
      </c>
      <c r="C22" s="9">
        <v>64</v>
      </c>
      <c r="D22" s="9">
        <v>1.24</v>
      </c>
      <c r="E22" s="10">
        <v>4.4499999999999998E-2</v>
      </c>
      <c r="F22" s="9">
        <v>1.48</v>
      </c>
      <c r="G22" s="10">
        <v>7.6300000000000007E-2</v>
      </c>
    </row>
    <row r="23" spans="2:7" ht="16" x14ac:dyDescent="0.2">
      <c r="B23" s="4" t="s">
        <v>66</v>
      </c>
      <c r="C23" s="5">
        <v>36</v>
      </c>
      <c r="D23" s="5">
        <v>6.43</v>
      </c>
      <c r="E23" s="6">
        <v>0.17780000000000001</v>
      </c>
      <c r="F23" s="5">
        <v>6.63</v>
      </c>
      <c r="G23" s="6">
        <v>0.22489999999999999</v>
      </c>
    </row>
    <row r="24" spans="2:7" ht="16" x14ac:dyDescent="0.2">
      <c r="B24" s="8" t="s">
        <v>67</v>
      </c>
      <c r="C24" s="9">
        <v>40</v>
      </c>
      <c r="D24" s="9">
        <v>2.83</v>
      </c>
      <c r="E24" s="10">
        <v>0.10780000000000001</v>
      </c>
      <c r="F24" s="9">
        <v>3.23</v>
      </c>
      <c r="G24" s="10">
        <v>0.1527</v>
      </c>
    </row>
    <row r="25" spans="2:7" ht="16" x14ac:dyDescent="0.2">
      <c r="B25" s="4" t="s">
        <v>68</v>
      </c>
      <c r="C25" s="5">
        <v>20</v>
      </c>
      <c r="D25" s="5">
        <v>2.85</v>
      </c>
      <c r="E25" s="6">
        <v>0.16370000000000001</v>
      </c>
      <c r="F25" s="5">
        <v>3.08</v>
      </c>
      <c r="G25" s="6">
        <v>0.22819999999999999</v>
      </c>
    </row>
    <row r="26" spans="2:7" ht="16" x14ac:dyDescent="0.2">
      <c r="B26" s="8" t="s">
        <v>69</v>
      </c>
      <c r="C26" s="9">
        <v>496</v>
      </c>
      <c r="D26" s="9">
        <v>7.31</v>
      </c>
      <c r="E26" s="10">
        <v>-0.05</v>
      </c>
      <c r="F26" s="9">
        <v>7.92</v>
      </c>
      <c r="G26" s="10">
        <v>8.7599999999999997E-2</v>
      </c>
    </row>
    <row r="27" spans="2:7" ht="16" x14ac:dyDescent="0.2">
      <c r="B27" s="4" t="s">
        <v>70</v>
      </c>
      <c r="C27" s="5">
        <v>228</v>
      </c>
      <c r="D27" s="5">
        <v>5.63</v>
      </c>
      <c r="E27" s="6">
        <v>0.18540000000000001</v>
      </c>
      <c r="F27" s="5">
        <v>6.24</v>
      </c>
      <c r="G27" s="6">
        <v>0.2954</v>
      </c>
    </row>
    <row r="28" spans="2:7" ht="16" x14ac:dyDescent="0.2">
      <c r="B28" s="8" t="s">
        <v>71</v>
      </c>
      <c r="C28" s="9">
        <v>32</v>
      </c>
      <c r="D28" s="9">
        <v>1.74</v>
      </c>
      <c r="E28" s="10">
        <v>8.7900000000000006E-2</v>
      </c>
      <c r="F28" s="9">
        <v>1.99</v>
      </c>
      <c r="G28" s="10">
        <v>0.13539999999999999</v>
      </c>
    </row>
    <row r="29" spans="2:7" ht="16" x14ac:dyDescent="0.2">
      <c r="B29" s="4" t="s">
        <v>72</v>
      </c>
      <c r="C29" s="5">
        <v>112</v>
      </c>
      <c r="D29" s="5">
        <v>4.09</v>
      </c>
      <c r="E29" s="6">
        <v>9.4000000000000004E-3</v>
      </c>
      <c r="F29" s="5">
        <v>4.42</v>
      </c>
      <c r="G29" s="6">
        <v>9.7500000000000003E-2</v>
      </c>
    </row>
    <row r="30" spans="2:7" ht="16" x14ac:dyDescent="0.2">
      <c r="B30" s="8" t="s">
        <v>73</v>
      </c>
      <c r="C30" s="9">
        <v>8</v>
      </c>
      <c r="D30" s="9">
        <v>0.96</v>
      </c>
      <c r="E30" s="10">
        <v>-9.4200000000000006E-2</v>
      </c>
      <c r="F30" s="9">
        <v>0.91</v>
      </c>
      <c r="G30" s="10">
        <v>-4.2500000000000003E-2</v>
      </c>
    </row>
    <row r="31" spans="2:7" ht="16" x14ac:dyDescent="0.2">
      <c r="B31" s="4" t="s">
        <v>74</v>
      </c>
      <c r="C31" s="5">
        <v>114</v>
      </c>
      <c r="D31" s="5">
        <v>3.02</v>
      </c>
      <c r="E31" s="6">
        <v>6.4699999999999994E-2</v>
      </c>
      <c r="F31" s="5">
        <v>3.21</v>
      </c>
      <c r="G31" s="6">
        <v>0.1052</v>
      </c>
    </row>
    <row r="32" spans="2:7" ht="16" x14ac:dyDescent="0.2">
      <c r="B32" s="8" t="s">
        <v>75</v>
      </c>
      <c r="C32" s="9">
        <v>48</v>
      </c>
      <c r="D32" s="9">
        <v>1.58</v>
      </c>
      <c r="E32" s="10">
        <v>5.9400000000000001E-2</v>
      </c>
      <c r="F32" s="9">
        <v>1.74</v>
      </c>
      <c r="G32" s="10">
        <v>6.7500000000000004E-2</v>
      </c>
    </row>
    <row r="33" spans="2:7" ht="16" x14ac:dyDescent="0.2">
      <c r="B33" s="4" t="s">
        <v>76</v>
      </c>
      <c r="C33" s="5">
        <v>92</v>
      </c>
      <c r="D33" s="5">
        <v>3.87</v>
      </c>
      <c r="E33" s="6">
        <v>4.4299999999999999E-2</v>
      </c>
      <c r="F33" s="5">
        <v>4.33</v>
      </c>
      <c r="G33" s="6">
        <v>0.1038</v>
      </c>
    </row>
    <row r="34" spans="2:7" ht="16" x14ac:dyDescent="0.2">
      <c r="B34" s="8" t="s">
        <v>77</v>
      </c>
      <c r="C34" s="9">
        <v>53</v>
      </c>
      <c r="D34" s="9">
        <v>3.09</v>
      </c>
      <c r="E34" s="10">
        <v>8.2400000000000001E-2</v>
      </c>
      <c r="F34" s="9">
        <v>3.7</v>
      </c>
      <c r="G34" s="10">
        <v>0.14849999999999999</v>
      </c>
    </row>
    <row r="35" spans="2:7" ht="16" x14ac:dyDescent="0.2">
      <c r="B35" s="4" t="s">
        <v>78</v>
      </c>
      <c r="C35" s="5">
        <v>35</v>
      </c>
      <c r="D35" s="5">
        <v>0.92</v>
      </c>
      <c r="E35" s="6">
        <v>3.9100000000000003E-2</v>
      </c>
      <c r="F35" s="5">
        <v>1.34</v>
      </c>
      <c r="G35" s="6">
        <v>5.6099999999999997E-2</v>
      </c>
    </row>
    <row r="36" spans="2:7" ht="16" x14ac:dyDescent="0.2">
      <c r="B36" s="8" t="s">
        <v>79</v>
      </c>
      <c r="C36" s="9">
        <v>176</v>
      </c>
      <c r="D36" s="9">
        <v>5.22</v>
      </c>
      <c r="E36" s="10">
        <v>0.22189999999999999</v>
      </c>
      <c r="F36" s="9">
        <v>18.91</v>
      </c>
      <c r="G36" s="10">
        <v>0.18540000000000001</v>
      </c>
    </row>
    <row r="37" spans="2:7" ht="16" x14ac:dyDescent="0.2">
      <c r="B37" s="4" t="s">
        <v>80</v>
      </c>
      <c r="C37" s="5">
        <v>78</v>
      </c>
      <c r="D37" s="5">
        <v>1.05</v>
      </c>
      <c r="E37" s="6">
        <v>2.8199999999999999E-2</v>
      </c>
      <c r="F37" s="5">
        <v>1.47</v>
      </c>
      <c r="G37" s="6">
        <v>0.1077</v>
      </c>
    </row>
    <row r="38" spans="2:7" ht="16" x14ac:dyDescent="0.2">
      <c r="B38" s="8" t="s">
        <v>81</v>
      </c>
      <c r="C38" s="9">
        <v>13</v>
      </c>
      <c r="D38" s="9">
        <v>0.31</v>
      </c>
      <c r="E38" s="10">
        <v>1.17E-2</v>
      </c>
      <c r="F38" s="9">
        <v>0.46</v>
      </c>
      <c r="G38" s="10">
        <v>2.5499999999999998E-2</v>
      </c>
    </row>
    <row r="39" spans="2:7" ht="16" x14ac:dyDescent="0.2">
      <c r="B39" s="4" t="s">
        <v>82</v>
      </c>
      <c r="C39" s="5">
        <v>27</v>
      </c>
      <c r="D39" s="5">
        <v>0.98</v>
      </c>
      <c r="E39" s="6">
        <v>1.0999999999999999E-2</v>
      </c>
      <c r="F39" s="5">
        <v>1.33</v>
      </c>
      <c r="G39" s="6">
        <v>6.88E-2</v>
      </c>
    </row>
    <row r="40" spans="2:7" ht="16" x14ac:dyDescent="0.2">
      <c r="B40" s="8" t="s">
        <v>83</v>
      </c>
      <c r="C40" s="9">
        <v>15</v>
      </c>
      <c r="D40" s="9">
        <v>3.76</v>
      </c>
      <c r="E40" s="10">
        <v>-0.10829999999999999</v>
      </c>
      <c r="F40" s="9">
        <v>7.87</v>
      </c>
      <c r="G40" s="10">
        <v>0.18390000000000001</v>
      </c>
    </row>
    <row r="41" spans="2:7" ht="16" x14ac:dyDescent="0.2">
      <c r="B41" s="4" t="s">
        <v>84</v>
      </c>
      <c r="C41" s="5">
        <v>204</v>
      </c>
      <c r="D41" s="5">
        <v>4.3600000000000003</v>
      </c>
      <c r="E41" s="6">
        <v>9.6100000000000005E-2</v>
      </c>
      <c r="F41" s="5">
        <v>4.76</v>
      </c>
      <c r="G41" s="6">
        <v>0.1547</v>
      </c>
    </row>
    <row r="42" spans="2:7" ht="16" x14ac:dyDescent="0.2">
      <c r="B42" s="8" t="s">
        <v>85</v>
      </c>
      <c r="C42" s="9">
        <v>104</v>
      </c>
      <c r="D42" s="9">
        <v>0.37</v>
      </c>
      <c r="E42" s="10">
        <v>1.2500000000000001E-2</v>
      </c>
      <c r="F42" s="9">
        <v>0.46</v>
      </c>
      <c r="G42" s="10">
        <v>2.9899999999999999E-2</v>
      </c>
    </row>
    <row r="43" spans="2:7" ht="16" x14ac:dyDescent="0.2">
      <c r="B43" s="4" t="s">
        <v>86</v>
      </c>
      <c r="C43" s="5">
        <v>115</v>
      </c>
      <c r="D43" s="5">
        <v>4.7</v>
      </c>
      <c r="E43" s="6">
        <v>7.4499999999999997E-2</v>
      </c>
      <c r="F43" s="5">
        <v>5.31</v>
      </c>
      <c r="G43" s="6">
        <v>0.14749999999999999</v>
      </c>
    </row>
    <row r="44" spans="2:7" ht="16" x14ac:dyDescent="0.2">
      <c r="B44" s="8" t="s">
        <v>87</v>
      </c>
      <c r="C44" s="9">
        <v>30</v>
      </c>
      <c r="D44" s="9">
        <v>1.07</v>
      </c>
      <c r="E44" s="10">
        <v>9.4700000000000006E-2</v>
      </c>
      <c r="F44" s="9">
        <v>1.19</v>
      </c>
      <c r="G44" s="10">
        <v>0.1263</v>
      </c>
    </row>
    <row r="45" spans="2:7" ht="16" x14ac:dyDescent="0.2">
      <c r="B45" s="4" t="s">
        <v>88</v>
      </c>
      <c r="C45" s="5">
        <v>31</v>
      </c>
      <c r="D45" s="5">
        <v>1.08</v>
      </c>
      <c r="E45" s="6">
        <v>6.3E-2</v>
      </c>
      <c r="F45" s="5">
        <v>1.69</v>
      </c>
      <c r="G45" s="6">
        <v>0.12859999999999999</v>
      </c>
    </row>
    <row r="46" spans="2:7" ht="16" x14ac:dyDescent="0.2">
      <c r="B46" s="8" t="s">
        <v>89</v>
      </c>
      <c r="C46" s="9">
        <v>63</v>
      </c>
      <c r="D46" s="9">
        <v>3.26</v>
      </c>
      <c r="E46" s="10">
        <v>0.1038</v>
      </c>
      <c r="F46" s="9">
        <v>4.33</v>
      </c>
      <c r="G46" s="10">
        <v>0.16439999999999999</v>
      </c>
    </row>
    <row r="47" spans="2:7" ht="16" x14ac:dyDescent="0.2">
      <c r="B47" s="4" t="s">
        <v>90</v>
      </c>
      <c r="C47" s="5">
        <v>110</v>
      </c>
      <c r="D47" s="5">
        <v>2.67</v>
      </c>
      <c r="E47" s="6">
        <v>0.1168</v>
      </c>
      <c r="F47" s="5">
        <v>3.06</v>
      </c>
      <c r="G47" s="6">
        <v>0.18790000000000001</v>
      </c>
    </row>
    <row r="48" spans="2:7" ht="16" x14ac:dyDescent="0.2">
      <c r="B48" s="8" t="s">
        <v>91</v>
      </c>
      <c r="C48" s="9">
        <v>15</v>
      </c>
      <c r="D48" s="9">
        <v>1.7</v>
      </c>
      <c r="E48" s="10">
        <v>6.5299999999999997E-2</v>
      </c>
      <c r="F48" s="9">
        <v>2.21</v>
      </c>
      <c r="G48" s="10">
        <v>0.1245</v>
      </c>
    </row>
    <row r="49" spans="2:7" ht="16" x14ac:dyDescent="0.2">
      <c r="B49" s="4" t="s">
        <v>92</v>
      </c>
      <c r="C49" s="5">
        <v>21</v>
      </c>
      <c r="D49" s="5">
        <v>3.53</v>
      </c>
      <c r="E49" s="6">
        <v>0.1237</v>
      </c>
      <c r="F49" s="5">
        <v>4.32</v>
      </c>
      <c r="G49" s="6">
        <v>0.21460000000000001</v>
      </c>
    </row>
    <row r="50" spans="2:7" ht="16" x14ac:dyDescent="0.2">
      <c r="B50" s="8" t="s">
        <v>93</v>
      </c>
      <c r="C50" s="9">
        <v>20</v>
      </c>
      <c r="D50" s="9">
        <v>0.95</v>
      </c>
      <c r="E50" s="10">
        <v>7.8E-2</v>
      </c>
      <c r="F50" s="9">
        <v>1.28</v>
      </c>
      <c r="G50" s="10">
        <v>0.1065</v>
      </c>
    </row>
    <row r="51" spans="2:7" ht="16" x14ac:dyDescent="0.2">
      <c r="B51" s="4" t="s">
        <v>94</v>
      </c>
      <c r="C51" s="5">
        <v>57</v>
      </c>
      <c r="D51" s="5">
        <v>1.36</v>
      </c>
      <c r="E51" s="6">
        <v>0.1113</v>
      </c>
      <c r="F51" s="5">
        <v>1.49</v>
      </c>
      <c r="G51" s="6">
        <v>0.153</v>
      </c>
    </row>
    <row r="52" spans="2:7" ht="16" x14ac:dyDescent="0.2">
      <c r="B52" s="8" t="s">
        <v>95</v>
      </c>
      <c r="C52" s="9">
        <v>283</v>
      </c>
      <c r="D52" s="9">
        <v>4.59</v>
      </c>
      <c r="E52" s="10">
        <v>0.18360000000000001</v>
      </c>
      <c r="F52" s="9">
        <v>5.49</v>
      </c>
      <c r="G52" s="10">
        <v>0.25180000000000002</v>
      </c>
    </row>
    <row r="53" spans="2:7" ht="16" x14ac:dyDescent="0.2">
      <c r="B53" s="4" t="s">
        <v>96</v>
      </c>
      <c r="C53" s="5">
        <v>105</v>
      </c>
      <c r="D53" s="5">
        <v>3.08</v>
      </c>
      <c r="E53" s="6">
        <v>0.10580000000000001</v>
      </c>
      <c r="F53" s="5">
        <v>3.43</v>
      </c>
      <c r="G53" s="6">
        <v>0.16059999999999999</v>
      </c>
    </row>
    <row r="54" spans="2:7" ht="16" x14ac:dyDescent="0.2">
      <c r="B54" s="8" t="s">
        <v>97</v>
      </c>
      <c r="C54" s="9">
        <v>73</v>
      </c>
      <c r="D54" s="9">
        <v>3.81</v>
      </c>
      <c r="E54" s="10">
        <v>0.1052</v>
      </c>
      <c r="F54" s="9">
        <v>4.03</v>
      </c>
      <c r="G54" s="10">
        <v>0.23760000000000001</v>
      </c>
    </row>
    <row r="55" spans="2:7" ht="16" x14ac:dyDescent="0.2">
      <c r="B55" s="4" t="s">
        <v>98</v>
      </c>
      <c r="C55" s="5">
        <v>14</v>
      </c>
      <c r="D55" s="5">
        <v>1.02</v>
      </c>
      <c r="E55" s="6">
        <v>4.3799999999999999E-2</v>
      </c>
      <c r="F55" s="5">
        <v>1.43</v>
      </c>
      <c r="G55" s="6">
        <v>0.10879999999999999</v>
      </c>
    </row>
    <row r="56" spans="2:7" ht="16" x14ac:dyDescent="0.2">
      <c r="B56" s="8" t="s">
        <v>99</v>
      </c>
      <c r="C56" s="9">
        <v>4</v>
      </c>
      <c r="D56" s="9">
        <v>1.58</v>
      </c>
      <c r="E56" s="10">
        <v>8.3000000000000004E-2</v>
      </c>
      <c r="F56" s="9">
        <v>1.75</v>
      </c>
      <c r="G56" s="10">
        <v>0.1157</v>
      </c>
    </row>
    <row r="57" spans="2:7" ht="16" x14ac:dyDescent="0.2">
      <c r="B57" s="4" t="s">
        <v>100</v>
      </c>
      <c r="C57" s="5">
        <v>142</v>
      </c>
      <c r="D57" s="5">
        <v>2</v>
      </c>
      <c r="E57" s="6">
        <v>0.14630000000000001</v>
      </c>
      <c r="F57" s="5">
        <v>2.68</v>
      </c>
      <c r="G57" s="6">
        <v>0.25819999999999999</v>
      </c>
    </row>
    <row r="58" spans="2:7" ht="16" x14ac:dyDescent="0.2">
      <c r="B58" s="8" t="s">
        <v>101</v>
      </c>
      <c r="C58" s="9">
        <v>23</v>
      </c>
      <c r="D58" s="9">
        <v>2.78</v>
      </c>
      <c r="E58" s="10">
        <v>0.13350000000000001</v>
      </c>
      <c r="F58" s="9">
        <v>4.37</v>
      </c>
      <c r="G58" s="10">
        <v>0.2606</v>
      </c>
    </row>
    <row r="59" spans="2:7" ht="16" x14ac:dyDescent="0.2">
      <c r="B59" s="4" t="s">
        <v>102</v>
      </c>
      <c r="C59" s="5">
        <v>97</v>
      </c>
      <c r="D59" s="5">
        <v>0.56999999999999995</v>
      </c>
      <c r="E59" s="6">
        <v>2.3400000000000001E-2</v>
      </c>
      <c r="F59" s="5">
        <v>0.74</v>
      </c>
      <c r="G59" s="6">
        <v>4.8500000000000001E-2</v>
      </c>
    </row>
    <row r="60" spans="2:7" ht="16" x14ac:dyDescent="0.2">
      <c r="B60" s="8" t="s">
        <v>103</v>
      </c>
      <c r="C60" s="9">
        <v>19</v>
      </c>
      <c r="D60" s="9">
        <v>1.03</v>
      </c>
      <c r="E60" s="10">
        <v>4.48E-2</v>
      </c>
      <c r="F60" s="9">
        <v>1.55</v>
      </c>
      <c r="G60" s="10">
        <v>9.7900000000000001E-2</v>
      </c>
    </row>
    <row r="61" spans="2:7" ht="16" x14ac:dyDescent="0.2">
      <c r="B61" s="4" t="s">
        <v>104</v>
      </c>
      <c r="C61" s="5">
        <v>6</v>
      </c>
      <c r="D61" s="5">
        <v>0.76</v>
      </c>
      <c r="E61" s="6">
        <v>3.44E-2</v>
      </c>
      <c r="F61" s="5">
        <v>1.02</v>
      </c>
      <c r="G61" s="6">
        <v>6.5799999999999997E-2</v>
      </c>
    </row>
    <row r="62" spans="2:7" ht="16" x14ac:dyDescent="0.2">
      <c r="B62" s="8" t="s">
        <v>105</v>
      </c>
      <c r="C62" s="9">
        <v>46</v>
      </c>
      <c r="D62" s="9">
        <v>2.74</v>
      </c>
      <c r="E62" s="10">
        <v>0.1273</v>
      </c>
      <c r="F62" s="9">
        <v>4.7</v>
      </c>
      <c r="G62" s="10">
        <v>0.21360000000000001</v>
      </c>
    </row>
    <row r="63" spans="2:7" ht="16" x14ac:dyDescent="0.2">
      <c r="B63" s="4" t="s">
        <v>106</v>
      </c>
      <c r="C63" s="5">
        <v>56</v>
      </c>
      <c r="D63" s="5">
        <v>5.84</v>
      </c>
      <c r="E63" s="6">
        <v>0.28589999999999999</v>
      </c>
      <c r="F63" s="5">
        <v>5.98</v>
      </c>
      <c r="G63" s="6">
        <v>0.40429999999999999</v>
      </c>
    </row>
    <row r="64" spans="2:7" ht="16" x14ac:dyDescent="0.2">
      <c r="B64" s="8" t="s">
        <v>107</v>
      </c>
      <c r="C64" s="9">
        <v>19</v>
      </c>
      <c r="D64" s="9">
        <v>1.47</v>
      </c>
      <c r="E64" s="10">
        <v>8.1900000000000001E-2</v>
      </c>
      <c r="F64" s="9">
        <v>1.7</v>
      </c>
      <c r="G64" s="10">
        <v>9.8400000000000001E-2</v>
      </c>
    </row>
    <row r="65" spans="2:7" ht="16" x14ac:dyDescent="0.2">
      <c r="B65" s="4" t="s">
        <v>108</v>
      </c>
      <c r="C65" s="5">
        <v>190</v>
      </c>
      <c r="D65" s="5">
        <v>5.89</v>
      </c>
      <c r="E65" s="6">
        <v>0.1323</v>
      </c>
      <c r="F65" s="5">
        <v>10.65</v>
      </c>
      <c r="G65" s="6">
        <v>0.22209999999999999</v>
      </c>
    </row>
    <row r="66" spans="2:7" ht="16" x14ac:dyDescent="0.2">
      <c r="B66" s="8" t="s">
        <v>109</v>
      </c>
      <c r="C66" s="9">
        <v>14</v>
      </c>
      <c r="D66" s="9">
        <v>1.77</v>
      </c>
      <c r="E66" s="10">
        <v>7.0099999999999996E-2</v>
      </c>
      <c r="F66" s="9">
        <v>3.03</v>
      </c>
      <c r="G66" s="10">
        <v>0.21190000000000001</v>
      </c>
    </row>
    <row r="67" spans="2:7" ht="16" x14ac:dyDescent="0.2">
      <c r="B67" s="4" t="s">
        <v>110</v>
      </c>
      <c r="C67" s="5">
        <v>12</v>
      </c>
      <c r="D67" s="5">
        <v>4.82</v>
      </c>
      <c r="E67" s="6">
        <v>0.23769999999999999</v>
      </c>
      <c r="F67" s="5">
        <v>6.83</v>
      </c>
      <c r="G67" s="6">
        <v>0.22090000000000001</v>
      </c>
    </row>
    <row r="68" spans="2:7" ht="16" x14ac:dyDescent="0.2">
      <c r="B68" s="8" t="s">
        <v>111</v>
      </c>
      <c r="C68" s="9">
        <v>54</v>
      </c>
      <c r="D68" s="9">
        <v>1.24</v>
      </c>
      <c r="E68" s="10">
        <v>1.1900000000000001E-2</v>
      </c>
      <c r="F68" s="9">
        <v>1.46</v>
      </c>
      <c r="G68" s="10">
        <v>2.76E-2</v>
      </c>
    </row>
    <row r="69" spans="2:7" ht="16" x14ac:dyDescent="0.2">
      <c r="B69" s="4" t="s">
        <v>112</v>
      </c>
      <c r="C69" s="5">
        <v>49</v>
      </c>
      <c r="D69" s="5">
        <v>1.26</v>
      </c>
      <c r="E69" s="6">
        <v>-4.7199999999999999E-2</v>
      </c>
      <c r="F69" s="5">
        <v>1.94</v>
      </c>
      <c r="G69" s="6">
        <v>8.0600000000000005E-2</v>
      </c>
    </row>
    <row r="70" spans="2:7" ht="16" x14ac:dyDescent="0.2">
      <c r="B70" s="8" t="s">
        <v>113</v>
      </c>
      <c r="C70" s="9">
        <v>1</v>
      </c>
      <c r="D70" s="9">
        <v>0.6</v>
      </c>
      <c r="E70" s="10">
        <v>3.8899999999999997E-2</v>
      </c>
      <c r="F70" s="9">
        <v>0.65</v>
      </c>
      <c r="G70" s="10">
        <v>7.2300000000000003E-2</v>
      </c>
    </row>
    <row r="71" spans="2:7" ht="16" x14ac:dyDescent="0.2">
      <c r="B71" s="4" t="s">
        <v>114</v>
      </c>
      <c r="C71" s="5">
        <v>64</v>
      </c>
      <c r="D71" s="5">
        <v>3.34</v>
      </c>
      <c r="E71" s="6">
        <v>9.3700000000000006E-2</v>
      </c>
      <c r="F71" s="5">
        <v>4.17</v>
      </c>
      <c r="G71" s="6">
        <v>0.13789999999999999</v>
      </c>
    </row>
    <row r="72" spans="2:7" ht="16" x14ac:dyDescent="0.2">
      <c r="B72" s="8" t="s">
        <v>115</v>
      </c>
      <c r="C72" s="9">
        <v>34</v>
      </c>
      <c r="D72" s="9">
        <v>0.89</v>
      </c>
      <c r="E72" s="10">
        <v>3.3599999999999998E-2</v>
      </c>
      <c r="F72" s="9">
        <v>1.27</v>
      </c>
      <c r="G72" s="10">
        <v>5.8400000000000001E-2</v>
      </c>
    </row>
    <row r="73" spans="2:7" ht="16" x14ac:dyDescent="0.2">
      <c r="B73" s="4" t="s">
        <v>116</v>
      </c>
      <c r="C73" s="5">
        <v>14</v>
      </c>
      <c r="D73" s="5">
        <v>1.85</v>
      </c>
      <c r="E73" s="6">
        <v>7.8399999999999997E-2</v>
      </c>
      <c r="F73" s="5">
        <v>2.2599999999999998</v>
      </c>
      <c r="G73" s="6">
        <v>0.1182</v>
      </c>
    </row>
    <row r="74" spans="2:7" ht="16" x14ac:dyDescent="0.2">
      <c r="B74" s="8" t="s">
        <v>117</v>
      </c>
      <c r="C74" s="9">
        <v>62</v>
      </c>
      <c r="D74" s="9">
        <v>1.51</v>
      </c>
      <c r="E74" s="10">
        <v>6.0499999999999998E-2</v>
      </c>
      <c r="F74" s="9">
        <v>1.89</v>
      </c>
      <c r="G74" s="10">
        <v>0.1032</v>
      </c>
    </row>
    <row r="75" spans="2:7" ht="16" x14ac:dyDescent="0.2">
      <c r="B75" s="4" t="s">
        <v>118</v>
      </c>
      <c r="C75" s="5">
        <v>23</v>
      </c>
      <c r="D75" s="5">
        <v>2.0099999999999998</v>
      </c>
      <c r="E75" s="6">
        <v>5.6099999999999997E-2</v>
      </c>
      <c r="F75" s="5">
        <v>2.11</v>
      </c>
      <c r="G75" s="6">
        <v>6.5000000000000002E-2</v>
      </c>
    </row>
    <row r="76" spans="2:7" ht="16" x14ac:dyDescent="0.2">
      <c r="B76" s="8" t="s">
        <v>119</v>
      </c>
      <c r="C76" s="9">
        <v>15</v>
      </c>
      <c r="D76" s="9">
        <v>0.34</v>
      </c>
      <c r="E76" s="10">
        <v>1.32E-2</v>
      </c>
      <c r="F76" s="9">
        <v>0.49</v>
      </c>
      <c r="G76" s="10">
        <v>1.8499999999999999E-2</v>
      </c>
    </row>
    <row r="77" spans="2:7" ht="16" x14ac:dyDescent="0.2">
      <c r="B77" s="4" t="s">
        <v>120</v>
      </c>
      <c r="C77" s="5">
        <v>26</v>
      </c>
      <c r="D77" s="5">
        <v>7.82</v>
      </c>
      <c r="E77" s="6">
        <v>0.23</v>
      </c>
      <c r="F77" s="5">
        <v>12.04</v>
      </c>
      <c r="G77" s="6">
        <v>0.38640000000000002</v>
      </c>
    </row>
    <row r="78" spans="2:7" ht="16" x14ac:dyDescent="0.2">
      <c r="B78" s="8" t="s">
        <v>121</v>
      </c>
      <c r="C78" s="9">
        <v>94</v>
      </c>
      <c r="D78" s="9">
        <v>1.43</v>
      </c>
      <c r="E78" s="10">
        <v>5.1900000000000002E-2</v>
      </c>
      <c r="F78" s="9">
        <v>1.63</v>
      </c>
      <c r="G78" s="10">
        <v>8.0799999999999997E-2</v>
      </c>
    </row>
    <row r="79" spans="2:7" ht="16" x14ac:dyDescent="0.2">
      <c r="B79" s="4" t="s">
        <v>122</v>
      </c>
      <c r="C79" s="5">
        <v>3</v>
      </c>
      <c r="D79" s="5">
        <v>0.14000000000000001</v>
      </c>
      <c r="E79" s="6">
        <v>-9.4899999999999998E-2</v>
      </c>
      <c r="F79" s="5">
        <v>0.59</v>
      </c>
      <c r="G79" s="6">
        <v>2.5700000000000001E-2</v>
      </c>
    </row>
    <row r="80" spans="2:7" ht="16" x14ac:dyDescent="0.2">
      <c r="B80" s="8" t="s">
        <v>123</v>
      </c>
      <c r="C80" s="9">
        <v>66</v>
      </c>
      <c r="D80" s="9">
        <v>15.46</v>
      </c>
      <c r="E80" s="10">
        <v>0.30449999999999999</v>
      </c>
      <c r="F80" s="9">
        <v>15.7</v>
      </c>
      <c r="G80" s="10">
        <v>0.35310000000000002</v>
      </c>
    </row>
    <row r="81" spans="2:7" ht="16" x14ac:dyDescent="0.2">
      <c r="B81" s="4" t="s">
        <v>124</v>
      </c>
      <c r="C81" s="5">
        <v>31</v>
      </c>
      <c r="D81" s="5">
        <v>7.49</v>
      </c>
      <c r="E81" s="6">
        <v>0.2132</v>
      </c>
      <c r="F81" s="5">
        <v>7.61</v>
      </c>
      <c r="G81" s="6">
        <v>0.26290000000000002</v>
      </c>
    </row>
    <row r="82" spans="2:7" ht="16" x14ac:dyDescent="0.2">
      <c r="B82" s="8" t="s">
        <v>125</v>
      </c>
      <c r="C82" s="9">
        <v>8</v>
      </c>
      <c r="D82" s="9">
        <v>1.45</v>
      </c>
      <c r="E82" s="10">
        <v>9.4799999999999995E-2</v>
      </c>
      <c r="F82" s="9">
        <v>1.74</v>
      </c>
      <c r="G82" s="10">
        <v>0.13519999999999999</v>
      </c>
    </row>
    <row r="83" spans="2:7" ht="16" x14ac:dyDescent="0.2">
      <c r="B83" s="4" t="s">
        <v>126</v>
      </c>
      <c r="C83" s="5">
        <v>11</v>
      </c>
      <c r="D83" s="5">
        <v>1.95</v>
      </c>
      <c r="E83" s="6">
        <v>6.2700000000000006E-2</v>
      </c>
      <c r="F83" s="5">
        <v>2.04</v>
      </c>
      <c r="G83" s="6">
        <v>9.1399999999999995E-2</v>
      </c>
    </row>
    <row r="84" spans="2:7" ht="16" x14ac:dyDescent="0.2">
      <c r="B84" s="8" t="s">
        <v>127</v>
      </c>
      <c r="C84" s="9">
        <v>77</v>
      </c>
      <c r="D84" s="9">
        <v>9.01</v>
      </c>
      <c r="E84" s="10">
        <v>0.29930000000000001</v>
      </c>
      <c r="F84" s="9">
        <v>9.1300000000000008</v>
      </c>
      <c r="G84" s="10">
        <v>0.3367</v>
      </c>
    </row>
    <row r="85" spans="2:7" ht="16" x14ac:dyDescent="0.2">
      <c r="B85" s="4" t="s">
        <v>128</v>
      </c>
      <c r="C85" s="5">
        <v>29</v>
      </c>
      <c r="D85" s="5">
        <v>8.76</v>
      </c>
      <c r="E85" s="6">
        <v>-9.2999999999999992E-3</v>
      </c>
      <c r="F85" s="5">
        <v>9.56</v>
      </c>
      <c r="G85" s="6">
        <v>3.7400000000000003E-2</v>
      </c>
    </row>
    <row r="86" spans="2:7" ht="16" x14ac:dyDescent="0.2">
      <c r="B86" s="8" t="s">
        <v>129</v>
      </c>
      <c r="C86" s="9">
        <v>309</v>
      </c>
      <c r="D86" s="9">
        <v>11.01</v>
      </c>
      <c r="E86" s="10">
        <v>0.25490000000000002</v>
      </c>
      <c r="F86" s="9">
        <v>11.41</v>
      </c>
      <c r="G86" s="10">
        <v>0.33210000000000001</v>
      </c>
    </row>
    <row r="87" spans="2:7" ht="16" x14ac:dyDescent="0.2">
      <c r="B87" s="4" t="s">
        <v>130</v>
      </c>
      <c r="C87" s="5">
        <v>19</v>
      </c>
      <c r="D87" s="5">
        <v>0.99</v>
      </c>
      <c r="E87" s="6">
        <v>1.9300000000000001E-2</v>
      </c>
      <c r="F87" s="5">
        <v>1.17</v>
      </c>
      <c r="G87" s="6">
        <v>4.1099999999999998E-2</v>
      </c>
    </row>
    <row r="88" spans="2:7" ht="16" x14ac:dyDescent="0.2">
      <c r="B88" s="8" t="s">
        <v>131</v>
      </c>
      <c r="C88" s="9">
        <v>12</v>
      </c>
      <c r="D88" s="9">
        <v>2.48</v>
      </c>
      <c r="E88" s="10">
        <v>0.12239999999999999</v>
      </c>
      <c r="F88" s="9">
        <v>3.72</v>
      </c>
      <c r="G88" s="10">
        <v>0.19739999999999999</v>
      </c>
    </row>
    <row r="89" spans="2:7" ht="16" x14ac:dyDescent="0.2">
      <c r="B89" s="4" t="s">
        <v>132</v>
      </c>
      <c r="C89" s="5">
        <v>57</v>
      </c>
      <c r="D89" s="5">
        <v>6.13</v>
      </c>
      <c r="E89" s="6">
        <v>0.16089999999999999</v>
      </c>
      <c r="F89" s="5">
        <v>6.52</v>
      </c>
      <c r="G89" s="6">
        <v>0.2092</v>
      </c>
    </row>
    <row r="90" spans="2:7" ht="16" x14ac:dyDescent="0.2">
      <c r="B90" s="8" t="s">
        <v>133</v>
      </c>
      <c r="C90" s="9">
        <v>39</v>
      </c>
      <c r="D90" s="9">
        <v>1.39</v>
      </c>
      <c r="E90" s="10">
        <v>0.14199999999999999</v>
      </c>
      <c r="F90" s="9">
        <v>2.61</v>
      </c>
      <c r="G90" s="10">
        <v>0.2082</v>
      </c>
    </row>
    <row r="91" spans="2:7" ht="16" x14ac:dyDescent="0.2">
      <c r="B91" s="4" t="s">
        <v>134</v>
      </c>
      <c r="C91" s="5">
        <v>10</v>
      </c>
      <c r="D91" s="5">
        <v>5.3</v>
      </c>
      <c r="E91" s="6">
        <v>0.26650000000000001</v>
      </c>
      <c r="F91" s="5">
        <v>6.4</v>
      </c>
      <c r="G91" s="6">
        <v>0.43680000000000002</v>
      </c>
    </row>
    <row r="92" spans="2:7" ht="16" x14ac:dyDescent="0.2">
      <c r="B92" s="8" t="s">
        <v>135</v>
      </c>
      <c r="C92" s="9">
        <v>19</v>
      </c>
      <c r="D92" s="9">
        <v>1.27</v>
      </c>
      <c r="E92" s="10">
        <v>8.2299999999999998E-2</v>
      </c>
      <c r="F92" s="9">
        <v>1.64</v>
      </c>
      <c r="G92" s="10">
        <v>7.6399999999999996E-2</v>
      </c>
    </row>
    <row r="93" spans="2:7" ht="16" x14ac:dyDescent="0.2">
      <c r="B93" s="4" t="s">
        <v>136</v>
      </c>
      <c r="C93" s="5">
        <v>4</v>
      </c>
      <c r="D93" s="5">
        <v>5.26</v>
      </c>
      <c r="E93" s="6">
        <v>0.24729999999999999</v>
      </c>
      <c r="F93" s="5">
        <v>6.67</v>
      </c>
      <c r="G93" s="6">
        <v>0.37430000000000002</v>
      </c>
    </row>
    <row r="94" spans="2:7" ht="16" x14ac:dyDescent="0.2">
      <c r="B94" s="8" t="s">
        <v>137</v>
      </c>
      <c r="C94" s="9">
        <v>26</v>
      </c>
      <c r="D94" s="9">
        <v>1.42</v>
      </c>
      <c r="E94" s="10">
        <v>3.7900000000000003E-2</v>
      </c>
      <c r="F94" s="9">
        <v>1.74</v>
      </c>
      <c r="G94" s="10">
        <v>7.3099999999999998E-2</v>
      </c>
    </row>
    <row r="95" spans="2:7" ht="16" x14ac:dyDescent="0.2">
      <c r="B95" s="4" t="s">
        <v>138</v>
      </c>
      <c r="C95" s="5">
        <v>14</v>
      </c>
      <c r="D95" s="5">
        <v>2.9</v>
      </c>
      <c r="E95" s="6">
        <v>0.14180000000000001</v>
      </c>
      <c r="F95" s="5">
        <v>5.25</v>
      </c>
      <c r="G95" s="6">
        <v>0.2321</v>
      </c>
    </row>
    <row r="96" spans="2:7" ht="16" x14ac:dyDescent="0.2">
      <c r="B96" s="8" t="s">
        <v>139</v>
      </c>
      <c r="C96" s="9">
        <v>14</v>
      </c>
      <c r="D96" s="9">
        <v>4.43</v>
      </c>
      <c r="E96" s="10">
        <v>0.21160000000000001</v>
      </c>
      <c r="F96" s="9">
        <v>7.16</v>
      </c>
      <c r="G96" s="10">
        <v>0.33650000000000002</v>
      </c>
    </row>
    <row r="97" spans="2:7" ht="16" x14ac:dyDescent="0.2">
      <c r="B97" s="4" t="s">
        <v>140</v>
      </c>
      <c r="C97" s="5">
        <v>5994</v>
      </c>
      <c r="D97" s="5">
        <v>3.07</v>
      </c>
      <c r="E97" s="6">
        <v>9.74E-2</v>
      </c>
      <c r="F97" s="5">
        <v>3.97</v>
      </c>
      <c r="G97" s="6">
        <v>0.1275</v>
      </c>
    </row>
    <row r="98" spans="2:7" ht="16" x14ac:dyDescent="0.2">
      <c r="B98" s="8" t="s">
        <v>141</v>
      </c>
      <c r="C98" s="9">
        <v>4822</v>
      </c>
      <c r="D98" s="9">
        <v>3.03</v>
      </c>
      <c r="E98" s="10">
        <v>8.5599999999999996E-2</v>
      </c>
      <c r="F98" s="9">
        <v>3.46</v>
      </c>
      <c r="G98" s="10">
        <v>0.13059999999999999</v>
      </c>
    </row>
    <row r="100" spans="2:7" x14ac:dyDescent="0.2">
      <c r="B100" s="13" t="s">
        <v>142</v>
      </c>
    </row>
  </sheetData>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E9F5F-DA05-4A91-9FB1-65E762B37975}">
  <dimension ref="B2:G101"/>
  <sheetViews>
    <sheetView showGridLines="0" workbookViewId="0">
      <selection activeCell="C102" sqref="C102"/>
    </sheetView>
  </sheetViews>
  <sheetFormatPr baseColWidth="10" defaultColWidth="8.83203125" defaultRowHeight="15" x14ac:dyDescent="0.2"/>
  <cols>
    <col min="2" max="2" width="36.5" bestFit="1" customWidth="1"/>
    <col min="3" max="3" width="18.5" bestFit="1" customWidth="1"/>
    <col min="4" max="4" width="13.5" bestFit="1" customWidth="1"/>
    <col min="5" max="5" width="12.83203125" bestFit="1" customWidth="1"/>
    <col min="7" max="7" width="28" bestFit="1" customWidth="1"/>
  </cols>
  <sheetData>
    <row r="2" spans="2:7" x14ac:dyDescent="0.2">
      <c r="B2" s="15" t="s">
        <v>40</v>
      </c>
      <c r="C2" s="16" t="s">
        <v>41</v>
      </c>
      <c r="D2" s="16" t="s">
        <v>42</v>
      </c>
      <c r="E2" s="16" t="s">
        <v>43</v>
      </c>
      <c r="F2" s="16" t="s">
        <v>44</v>
      </c>
      <c r="G2" s="17" t="s">
        <v>45</v>
      </c>
    </row>
    <row r="3" spans="2:7" ht="16" x14ac:dyDescent="0.2">
      <c r="B3" s="18" t="s">
        <v>46</v>
      </c>
      <c r="C3" s="19">
        <v>417</v>
      </c>
      <c r="D3" s="19">
        <v>1.43</v>
      </c>
      <c r="E3" s="20">
        <v>3.0700000000000002E-2</v>
      </c>
      <c r="F3" s="19">
        <v>1.65</v>
      </c>
      <c r="G3" s="21">
        <v>8.0299999999999996E-2</v>
      </c>
    </row>
    <row r="4" spans="2:7" ht="16" x14ac:dyDescent="0.2">
      <c r="B4" s="23" t="s">
        <v>47</v>
      </c>
      <c r="C4" s="24">
        <v>300</v>
      </c>
      <c r="D4" s="24">
        <v>2.2000000000000002</v>
      </c>
      <c r="E4" s="25">
        <v>5.1499999999999997E-2</v>
      </c>
      <c r="F4" s="24">
        <v>2.4700000000000002</v>
      </c>
      <c r="G4" s="26">
        <v>8.0199999999999994E-2</v>
      </c>
    </row>
    <row r="5" spans="2:7" ht="16" x14ac:dyDescent="0.2">
      <c r="B5" s="18" t="s">
        <v>48</v>
      </c>
      <c r="C5" s="19">
        <v>151</v>
      </c>
      <c r="D5" s="19">
        <v>0.76</v>
      </c>
      <c r="E5" s="20">
        <v>5.4899999999999997E-2</v>
      </c>
      <c r="F5" s="19">
        <v>1.31</v>
      </c>
      <c r="G5" s="21">
        <v>7.7899999999999997E-2</v>
      </c>
    </row>
    <row r="6" spans="2:7" ht="16" x14ac:dyDescent="0.2">
      <c r="B6" s="23" t="s">
        <v>49</v>
      </c>
      <c r="C6" s="24">
        <v>1194</v>
      </c>
      <c r="D6" s="24">
        <v>2.04</v>
      </c>
      <c r="E6" s="25">
        <v>7.4499999999999997E-2</v>
      </c>
      <c r="F6" s="24">
        <v>2.2999999999999998</v>
      </c>
      <c r="G6" s="26">
        <v>0.14330000000000001</v>
      </c>
    </row>
    <row r="7" spans="2:7" ht="16" x14ac:dyDescent="0.2">
      <c r="B7" s="18" t="s">
        <v>50</v>
      </c>
      <c r="C7" s="19">
        <v>162</v>
      </c>
      <c r="D7" s="19">
        <v>1.02</v>
      </c>
      <c r="E7" s="20">
        <v>5.4300000000000001E-2</v>
      </c>
      <c r="F7" s="19">
        <v>1.37</v>
      </c>
      <c r="G7" s="21">
        <v>6.7199999999999996E-2</v>
      </c>
    </row>
    <row r="8" spans="2:7" ht="16" x14ac:dyDescent="0.2">
      <c r="B8" s="23" t="s">
        <v>51</v>
      </c>
      <c r="C8" s="24">
        <v>780</v>
      </c>
      <c r="D8" s="24">
        <v>0.63</v>
      </c>
      <c r="E8" s="25">
        <v>3.0800000000000001E-2</v>
      </c>
      <c r="F8" s="24">
        <v>0.74</v>
      </c>
      <c r="G8" s="26">
        <v>5.2900000000000003E-2</v>
      </c>
    </row>
    <row r="9" spans="2:7" ht="16" x14ac:dyDescent="0.2">
      <c r="B9" s="18" t="s">
        <v>52</v>
      </c>
      <c r="C9" s="19">
        <v>621</v>
      </c>
      <c r="D9" s="19" t="s">
        <v>143</v>
      </c>
      <c r="E9" s="19" t="s">
        <v>143</v>
      </c>
      <c r="F9" s="19" t="s">
        <v>143</v>
      </c>
      <c r="G9" s="27" t="s">
        <v>143</v>
      </c>
    </row>
    <row r="10" spans="2:7" ht="16" x14ac:dyDescent="0.2">
      <c r="B10" s="23" t="s">
        <v>53</v>
      </c>
      <c r="C10" s="24">
        <v>849</v>
      </c>
      <c r="D10" s="24" t="s">
        <v>143</v>
      </c>
      <c r="E10" s="24" t="s">
        <v>143</v>
      </c>
      <c r="F10" s="24" t="s">
        <v>143</v>
      </c>
      <c r="G10" s="28" t="s">
        <v>143</v>
      </c>
    </row>
    <row r="11" spans="2:7" ht="16" x14ac:dyDescent="0.2">
      <c r="B11" s="18" t="s">
        <v>54</v>
      </c>
      <c r="C11" s="19">
        <v>216</v>
      </c>
      <c r="D11" s="19">
        <v>2.5299999999999998</v>
      </c>
      <c r="E11" s="20">
        <v>0.11509999999999999</v>
      </c>
      <c r="F11" s="19">
        <v>2.94</v>
      </c>
      <c r="G11" s="21">
        <v>0.22489999999999999</v>
      </c>
    </row>
    <row r="12" spans="2:7" ht="16" x14ac:dyDescent="0.2">
      <c r="B12" s="23" t="s">
        <v>55</v>
      </c>
      <c r="C12" s="24">
        <v>101</v>
      </c>
      <c r="D12" s="24">
        <v>2.97</v>
      </c>
      <c r="E12" s="25">
        <v>0.12089999999999999</v>
      </c>
      <c r="F12" s="24">
        <v>3.37</v>
      </c>
      <c r="G12" s="26">
        <v>0.17349999999999999</v>
      </c>
    </row>
    <row r="13" spans="2:7" ht="16" x14ac:dyDescent="0.2">
      <c r="B13" s="18" t="s">
        <v>56</v>
      </c>
      <c r="C13" s="19">
        <v>126</v>
      </c>
      <c r="D13" s="19">
        <v>0.74</v>
      </c>
      <c r="E13" s="20">
        <v>-1.44E-2</v>
      </c>
      <c r="F13" s="19">
        <v>1.2</v>
      </c>
      <c r="G13" s="21">
        <v>0.10009999999999999</v>
      </c>
    </row>
    <row r="14" spans="2:7" ht="16" x14ac:dyDescent="0.2">
      <c r="B14" s="23" t="s">
        <v>57</v>
      </c>
      <c r="C14" s="24">
        <v>606</v>
      </c>
      <c r="D14" s="24" t="s">
        <v>143</v>
      </c>
      <c r="E14" s="24" t="s">
        <v>143</v>
      </c>
      <c r="F14" s="24" t="s">
        <v>143</v>
      </c>
      <c r="G14" s="28" t="s">
        <v>143</v>
      </c>
    </row>
    <row r="15" spans="2:7" ht="16" x14ac:dyDescent="0.2">
      <c r="B15" s="18" t="s">
        <v>58</v>
      </c>
      <c r="C15" s="19">
        <v>462</v>
      </c>
      <c r="D15" s="19">
        <v>1.56</v>
      </c>
      <c r="E15" s="20">
        <v>6.8900000000000003E-2</v>
      </c>
      <c r="F15" s="19">
        <v>1.79</v>
      </c>
      <c r="G15" s="21">
        <v>0.10639999999999999</v>
      </c>
    </row>
    <row r="16" spans="2:7" ht="16" x14ac:dyDescent="0.2">
      <c r="B16" s="23" t="s">
        <v>59</v>
      </c>
      <c r="C16" s="24">
        <v>974</v>
      </c>
      <c r="D16" s="24">
        <v>2</v>
      </c>
      <c r="E16" s="25">
        <v>6.0999999999999999E-2</v>
      </c>
      <c r="F16" s="24">
        <v>2.23</v>
      </c>
      <c r="G16" s="26">
        <v>9.8599999999999993E-2</v>
      </c>
    </row>
    <row r="17" spans="2:7" ht="16" x14ac:dyDescent="0.2">
      <c r="B17" s="18" t="s">
        <v>60</v>
      </c>
      <c r="C17" s="19">
        <v>45</v>
      </c>
      <c r="D17" s="19">
        <v>1.1000000000000001</v>
      </c>
      <c r="E17" s="20">
        <v>6.3299999999999995E-2</v>
      </c>
      <c r="F17" s="19">
        <v>2.2999999999999998</v>
      </c>
      <c r="G17" s="21">
        <v>0.16889999999999999</v>
      </c>
    </row>
    <row r="18" spans="2:7" ht="16" x14ac:dyDescent="0.2">
      <c r="B18" s="23" t="s">
        <v>61</v>
      </c>
      <c r="C18" s="24">
        <v>897</v>
      </c>
      <c r="D18" s="24">
        <v>0.86</v>
      </c>
      <c r="E18" s="25">
        <v>1.8499999999999999E-2</v>
      </c>
      <c r="F18" s="24">
        <v>1.2</v>
      </c>
      <c r="G18" s="26">
        <v>4.3900000000000002E-2</v>
      </c>
    </row>
    <row r="19" spans="2:7" ht="16" x14ac:dyDescent="0.2">
      <c r="B19" s="18" t="s">
        <v>62</v>
      </c>
      <c r="C19" s="19">
        <v>64</v>
      </c>
      <c r="D19" s="19">
        <v>0.67</v>
      </c>
      <c r="E19" s="20">
        <v>1.04E-2</v>
      </c>
      <c r="F19" s="19">
        <v>1.01</v>
      </c>
      <c r="G19" s="21">
        <v>5.45E-2</v>
      </c>
    </row>
    <row r="20" spans="2:7" ht="16" x14ac:dyDescent="0.2">
      <c r="B20" s="23" t="s">
        <v>63</v>
      </c>
      <c r="C20" s="24">
        <v>951</v>
      </c>
      <c r="D20" s="24">
        <v>1.91</v>
      </c>
      <c r="E20" s="25">
        <v>5.9700000000000003E-2</v>
      </c>
      <c r="F20" s="24">
        <v>2.2200000000000002</v>
      </c>
      <c r="G20" s="26">
        <v>0.10630000000000001</v>
      </c>
    </row>
    <row r="21" spans="2:7" ht="16" x14ac:dyDescent="0.2">
      <c r="B21" s="18" t="s">
        <v>64</v>
      </c>
      <c r="C21" s="19">
        <v>216</v>
      </c>
      <c r="D21" s="19">
        <v>1.61</v>
      </c>
      <c r="E21" s="20">
        <v>0.13830000000000001</v>
      </c>
      <c r="F21" s="19">
        <v>1.61</v>
      </c>
      <c r="G21" s="21">
        <v>0.20749999999999999</v>
      </c>
    </row>
    <row r="22" spans="2:7" ht="16" x14ac:dyDescent="0.2">
      <c r="B22" s="23" t="s">
        <v>65</v>
      </c>
      <c r="C22" s="24">
        <v>1182</v>
      </c>
      <c r="D22" s="24">
        <v>1.4</v>
      </c>
      <c r="E22" s="25">
        <v>4.5199999999999997E-2</v>
      </c>
      <c r="F22" s="24">
        <v>1.51</v>
      </c>
      <c r="G22" s="26">
        <v>7.2800000000000004E-2</v>
      </c>
    </row>
    <row r="23" spans="2:7" ht="16" x14ac:dyDescent="0.2">
      <c r="B23" s="18" t="s">
        <v>66</v>
      </c>
      <c r="C23" s="19">
        <v>342</v>
      </c>
      <c r="D23" s="19">
        <v>3.26</v>
      </c>
      <c r="E23" s="20">
        <v>0.1007</v>
      </c>
      <c r="F23" s="19">
        <v>3.35</v>
      </c>
      <c r="G23" s="21">
        <v>0.1308</v>
      </c>
    </row>
    <row r="24" spans="2:7" ht="16" x14ac:dyDescent="0.2">
      <c r="B24" s="23" t="s">
        <v>67</v>
      </c>
      <c r="C24" s="24">
        <v>804</v>
      </c>
      <c r="D24" s="24">
        <v>1.1599999999999999</v>
      </c>
      <c r="E24" s="25">
        <v>6.1499999999999999E-2</v>
      </c>
      <c r="F24" s="24">
        <v>1.44</v>
      </c>
      <c r="G24" s="26">
        <v>9.4700000000000006E-2</v>
      </c>
    </row>
    <row r="25" spans="2:7" ht="16" x14ac:dyDescent="0.2">
      <c r="B25" s="18" t="s">
        <v>68</v>
      </c>
      <c r="C25" s="19">
        <v>335</v>
      </c>
      <c r="D25" s="19">
        <v>1.4</v>
      </c>
      <c r="E25" s="20">
        <v>0.13150000000000001</v>
      </c>
      <c r="F25" s="19">
        <v>1.96</v>
      </c>
      <c r="G25" s="21">
        <v>0.1915</v>
      </c>
    </row>
    <row r="26" spans="2:7" ht="16" x14ac:dyDescent="0.2">
      <c r="B26" s="23" t="s">
        <v>69</v>
      </c>
      <c r="C26" s="24">
        <v>1223</v>
      </c>
      <c r="D26" s="24">
        <v>6.2</v>
      </c>
      <c r="E26" s="25">
        <v>-9.5000000000000001E-2</v>
      </c>
      <c r="F26" s="24">
        <v>6.74</v>
      </c>
      <c r="G26" s="26">
        <v>8.0000000000000004E-4</v>
      </c>
    </row>
    <row r="27" spans="2:7" ht="16" x14ac:dyDescent="0.2">
      <c r="B27" s="18" t="s">
        <v>70</v>
      </c>
      <c r="C27" s="19">
        <v>1271</v>
      </c>
      <c r="D27" s="19">
        <v>3.54</v>
      </c>
      <c r="E27" s="20">
        <v>0.10730000000000001</v>
      </c>
      <c r="F27" s="19">
        <v>3.95</v>
      </c>
      <c r="G27" s="21">
        <v>0.20419999999999999</v>
      </c>
    </row>
    <row r="28" spans="2:7" ht="16" x14ac:dyDescent="0.2">
      <c r="B28" s="23" t="s">
        <v>71</v>
      </c>
      <c r="C28" s="24">
        <v>272</v>
      </c>
      <c r="D28" s="24">
        <v>1.98</v>
      </c>
      <c r="E28" s="25">
        <v>6.1499999999999999E-2</v>
      </c>
      <c r="F28" s="24">
        <v>2.31</v>
      </c>
      <c r="G28" s="26">
        <v>0.13120000000000001</v>
      </c>
    </row>
    <row r="29" spans="2:7" ht="16" x14ac:dyDescent="0.2">
      <c r="B29" s="18" t="s">
        <v>72</v>
      </c>
      <c r="C29" s="19">
        <v>1101</v>
      </c>
      <c r="D29" s="19">
        <v>2.0099999999999998</v>
      </c>
      <c r="E29" s="20">
        <v>0.05</v>
      </c>
      <c r="F29" s="19">
        <v>2.15</v>
      </c>
      <c r="G29" s="21">
        <v>7.3400000000000007E-2</v>
      </c>
    </row>
    <row r="30" spans="2:7" ht="16" x14ac:dyDescent="0.2">
      <c r="B30" s="23" t="s">
        <v>73</v>
      </c>
      <c r="C30" s="24">
        <v>125</v>
      </c>
      <c r="D30" s="24">
        <v>0.84</v>
      </c>
      <c r="E30" s="25">
        <v>3.7699999999999997E-2</v>
      </c>
      <c r="F30" s="24">
        <v>0.96</v>
      </c>
      <c r="G30" s="26">
        <v>5.8000000000000003E-2</v>
      </c>
    </row>
    <row r="31" spans="2:7" ht="16" x14ac:dyDescent="0.2">
      <c r="B31" s="18" t="s">
        <v>74</v>
      </c>
      <c r="C31" s="19">
        <v>1480</v>
      </c>
      <c r="D31" s="19">
        <v>1.56</v>
      </c>
      <c r="E31" s="20">
        <v>4.6300000000000001E-2</v>
      </c>
      <c r="F31" s="19">
        <v>1.64</v>
      </c>
      <c r="G31" s="21">
        <v>5.91E-2</v>
      </c>
    </row>
    <row r="32" spans="2:7" ht="16" x14ac:dyDescent="0.2">
      <c r="B32" s="23" t="s">
        <v>75</v>
      </c>
      <c r="C32" s="24">
        <v>1327</v>
      </c>
      <c r="D32" s="24">
        <v>0.43</v>
      </c>
      <c r="E32" s="25">
        <v>2.8000000000000001E-2</v>
      </c>
      <c r="F32" s="24">
        <v>0.69</v>
      </c>
      <c r="G32" s="26">
        <v>4.8300000000000003E-2</v>
      </c>
    </row>
    <row r="33" spans="2:7" ht="16" x14ac:dyDescent="0.2">
      <c r="B33" s="18" t="s">
        <v>76</v>
      </c>
      <c r="C33" s="19">
        <v>748</v>
      </c>
      <c r="D33" s="19">
        <v>3.08</v>
      </c>
      <c r="E33" s="20">
        <v>1.41E-2</v>
      </c>
      <c r="F33" s="19">
        <v>3.4</v>
      </c>
      <c r="G33" s="21">
        <v>9.1300000000000006E-2</v>
      </c>
    </row>
    <row r="34" spans="2:7" ht="16" x14ac:dyDescent="0.2">
      <c r="B34" s="23" t="s">
        <v>77</v>
      </c>
      <c r="C34" s="24">
        <v>391</v>
      </c>
      <c r="D34" s="24">
        <v>2.14</v>
      </c>
      <c r="E34" s="25">
        <v>6.0600000000000001E-2</v>
      </c>
      <c r="F34" s="24">
        <v>2.76</v>
      </c>
      <c r="G34" s="26">
        <v>0.1145</v>
      </c>
    </row>
    <row r="35" spans="2:7" ht="16" x14ac:dyDescent="0.2">
      <c r="B35" s="18" t="s">
        <v>78</v>
      </c>
      <c r="C35" s="19">
        <v>429</v>
      </c>
      <c r="D35" s="19">
        <v>0.72</v>
      </c>
      <c r="E35" s="20">
        <v>4.87E-2</v>
      </c>
      <c r="F35" s="19">
        <v>1.1000000000000001</v>
      </c>
      <c r="G35" s="21">
        <v>6.8500000000000005E-2</v>
      </c>
    </row>
    <row r="36" spans="2:7" ht="16" x14ac:dyDescent="0.2">
      <c r="B36" s="23" t="s">
        <v>79</v>
      </c>
      <c r="C36" s="24">
        <v>1117</v>
      </c>
      <c r="D36" s="24" t="s">
        <v>143</v>
      </c>
      <c r="E36" s="24" t="s">
        <v>143</v>
      </c>
      <c r="F36" s="24" t="s">
        <v>143</v>
      </c>
      <c r="G36" s="28" t="s">
        <v>143</v>
      </c>
    </row>
    <row r="37" spans="2:7" ht="16" x14ac:dyDescent="0.2">
      <c r="B37" s="18" t="s">
        <v>80</v>
      </c>
      <c r="C37" s="19">
        <v>1424</v>
      </c>
      <c r="D37" s="19">
        <v>1.02</v>
      </c>
      <c r="E37" s="20">
        <v>5.0999999999999997E-2</v>
      </c>
      <c r="F37" s="19">
        <v>1.3</v>
      </c>
      <c r="G37" s="21">
        <v>8.4699999999999998E-2</v>
      </c>
    </row>
    <row r="38" spans="2:7" ht="16" x14ac:dyDescent="0.2">
      <c r="B38" s="23" t="s">
        <v>81</v>
      </c>
      <c r="C38" s="24">
        <v>188</v>
      </c>
      <c r="D38" s="24">
        <v>0.28000000000000003</v>
      </c>
      <c r="E38" s="25">
        <v>1.41E-2</v>
      </c>
      <c r="F38" s="24">
        <v>0.42</v>
      </c>
      <c r="G38" s="26">
        <v>2.58E-2</v>
      </c>
    </row>
    <row r="39" spans="2:7" ht="16" x14ac:dyDescent="0.2">
      <c r="B39" s="18" t="s">
        <v>82</v>
      </c>
      <c r="C39" s="19">
        <v>380</v>
      </c>
      <c r="D39" s="19">
        <v>1.04</v>
      </c>
      <c r="E39" s="20">
        <v>5.79E-2</v>
      </c>
      <c r="F39" s="19">
        <v>1.08</v>
      </c>
      <c r="G39" s="21">
        <v>7.4200000000000002E-2</v>
      </c>
    </row>
    <row r="40" spans="2:7" ht="16" x14ac:dyDescent="0.2">
      <c r="B40" s="23" t="s">
        <v>83</v>
      </c>
      <c r="C40" s="24">
        <v>260</v>
      </c>
      <c r="D40" s="24">
        <v>4.2</v>
      </c>
      <c r="E40" s="25">
        <v>0.14099999999999999</v>
      </c>
      <c r="F40" s="24">
        <v>6.99</v>
      </c>
      <c r="G40" s="26">
        <v>0.30220000000000002</v>
      </c>
    </row>
    <row r="41" spans="2:7" ht="16" x14ac:dyDescent="0.2">
      <c r="B41" s="18" t="s">
        <v>84</v>
      </c>
      <c r="C41" s="19">
        <v>850</v>
      </c>
      <c r="D41" s="19">
        <v>4.01</v>
      </c>
      <c r="E41" s="20">
        <v>8.4699999999999998E-2</v>
      </c>
      <c r="F41" s="19">
        <v>4.3899999999999997</v>
      </c>
      <c r="G41" s="21">
        <v>0.13930000000000001</v>
      </c>
    </row>
    <row r="42" spans="2:7" ht="16" x14ac:dyDescent="0.2">
      <c r="B42" s="23" t="s">
        <v>85</v>
      </c>
      <c r="C42" s="24">
        <v>480</v>
      </c>
      <c r="D42" s="24">
        <v>0.43</v>
      </c>
      <c r="E42" s="25">
        <v>1.5699999999999999E-2</v>
      </c>
      <c r="F42" s="24">
        <v>0.55000000000000004</v>
      </c>
      <c r="G42" s="26">
        <v>3.4599999999999999E-2</v>
      </c>
    </row>
    <row r="43" spans="2:7" ht="16" x14ac:dyDescent="0.2">
      <c r="B43" s="18" t="s">
        <v>86</v>
      </c>
      <c r="C43" s="19">
        <v>435</v>
      </c>
      <c r="D43" s="19">
        <v>4.66</v>
      </c>
      <c r="E43" s="20">
        <v>5.3100000000000001E-2</v>
      </c>
      <c r="F43" s="19">
        <v>5.12</v>
      </c>
      <c r="G43" s="21">
        <v>0.12839999999999999</v>
      </c>
    </row>
    <row r="44" spans="2:7" ht="16" x14ac:dyDescent="0.2">
      <c r="B44" s="23" t="s">
        <v>87</v>
      </c>
      <c r="C44" s="24">
        <v>165</v>
      </c>
      <c r="D44" s="24">
        <v>0.95</v>
      </c>
      <c r="E44" s="25">
        <v>9.2799999999999994E-2</v>
      </c>
      <c r="F44" s="24">
        <v>1.1499999999999999</v>
      </c>
      <c r="G44" s="26">
        <v>0.11990000000000001</v>
      </c>
    </row>
    <row r="45" spans="2:7" ht="16" x14ac:dyDescent="0.2">
      <c r="B45" s="18" t="s">
        <v>88</v>
      </c>
      <c r="C45" s="19">
        <v>245</v>
      </c>
      <c r="D45" s="19">
        <v>1.38</v>
      </c>
      <c r="E45" s="20">
        <v>7.5999999999999998E-2</v>
      </c>
      <c r="F45" s="19">
        <v>1.99</v>
      </c>
      <c r="G45" s="21">
        <v>0.1106</v>
      </c>
    </row>
    <row r="46" spans="2:7" ht="16" x14ac:dyDescent="0.2">
      <c r="B46" s="23" t="s">
        <v>89</v>
      </c>
      <c r="C46" s="24">
        <v>660</v>
      </c>
      <c r="D46" s="24">
        <v>2.54</v>
      </c>
      <c r="E46" s="25">
        <v>7.4800000000000005E-2</v>
      </c>
      <c r="F46" s="24">
        <v>3.38</v>
      </c>
      <c r="G46" s="26">
        <v>0.14030000000000001</v>
      </c>
    </row>
    <row r="47" spans="2:7" ht="16" x14ac:dyDescent="0.2">
      <c r="B47" s="18" t="s">
        <v>90</v>
      </c>
      <c r="C47" s="19">
        <v>554</v>
      </c>
      <c r="D47" s="19">
        <v>2.76</v>
      </c>
      <c r="E47" s="20">
        <v>9.5399999999999999E-2</v>
      </c>
      <c r="F47" s="19">
        <v>3.03</v>
      </c>
      <c r="G47" s="21">
        <v>0.16089999999999999</v>
      </c>
    </row>
    <row r="48" spans="2:7" ht="16" x14ac:dyDescent="0.2">
      <c r="B48" s="23" t="s">
        <v>91</v>
      </c>
      <c r="C48" s="24">
        <v>85</v>
      </c>
      <c r="D48" s="24">
        <v>1.53</v>
      </c>
      <c r="E48" s="25">
        <v>5.79E-2</v>
      </c>
      <c r="F48" s="24">
        <v>1.95</v>
      </c>
      <c r="G48" s="26">
        <v>0.114</v>
      </c>
    </row>
    <row r="49" spans="2:7" ht="16" x14ac:dyDescent="0.2">
      <c r="B49" s="18" t="s">
        <v>92</v>
      </c>
      <c r="C49" s="19">
        <v>199</v>
      </c>
      <c r="D49" s="19">
        <v>1.1399999999999999</v>
      </c>
      <c r="E49" s="20">
        <v>7.1400000000000005E-2</v>
      </c>
      <c r="F49" s="19">
        <v>1.31</v>
      </c>
      <c r="G49" s="21">
        <v>0.1452</v>
      </c>
    </row>
    <row r="50" spans="2:7" ht="16" x14ac:dyDescent="0.2">
      <c r="B50" s="23" t="s">
        <v>93</v>
      </c>
      <c r="C50" s="24">
        <v>137</v>
      </c>
      <c r="D50" s="24">
        <v>0.91</v>
      </c>
      <c r="E50" s="25">
        <v>7.4800000000000005E-2</v>
      </c>
      <c r="F50" s="24">
        <v>1.1599999999999999</v>
      </c>
      <c r="G50" s="26">
        <v>0.13250000000000001</v>
      </c>
    </row>
    <row r="51" spans="2:7" ht="16" x14ac:dyDescent="0.2">
      <c r="B51" s="18" t="s">
        <v>94</v>
      </c>
      <c r="C51" s="19">
        <v>240</v>
      </c>
      <c r="D51" s="19">
        <v>1.17</v>
      </c>
      <c r="E51" s="20">
        <v>0.10639999999999999</v>
      </c>
      <c r="F51" s="19">
        <v>1.26</v>
      </c>
      <c r="G51" s="21">
        <v>0.14760000000000001</v>
      </c>
    </row>
    <row r="52" spans="2:7" ht="16" x14ac:dyDescent="0.2">
      <c r="B52" s="23" t="s">
        <v>95</v>
      </c>
      <c r="C52" s="24">
        <v>1291</v>
      </c>
      <c r="D52" s="24">
        <v>3.48</v>
      </c>
      <c r="E52" s="25">
        <v>0.14799999999999999</v>
      </c>
      <c r="F52" s="24">
        <v>5.14</v>
      </c>
      <c r="G52" s="26">
        <v>0.18640000000000001</v>
      </c>
    </row>
    <row r="53" spans="2:7" ht="16" x14ac:dyDescent="0.2">
      <c r="B53" s="18" t="s">
        <v>96</v>
      </c>
      <c r="C53" s="19">
        <v>1548</v>
      </c>
      <c r="D53" s="19">
        <v>1.96</v>
      </c>
      <c r="E53" s="20">
        <v>7.2099999999999997E-2</v>
      </c>
      <c r="F53" s="19">
        <v>2.09</v>
      </c>
      <c r="G53" s="21">
        <v>0.10299999999999999</v>
      </c>
    </row>
    <row r="54" spans="2:7" ht="16" x14ac:dyDescent="0.2">
      <c r="B54" s="23" t="s">
        <v>97</v>
      </c>
      <c r="C54" s="24">
        <v>1832</v>
      </c>
      <c r="D54" s="24">
        <v>1.03</v>
      </c>
      <c r="E54" s="25">
        <v>4.5400000000000003E-2</v>
      </c>
      <c r="F54" s="24">
        <v>1.22</v>
      </c>
      <c r="G54" s="26">
        <v>0.10979999999999999</v>
      </c>
    </row>
    <row r="55" spans="2:7" ht="16" x14ac:dyDescent="0.2">
      <c r="B55" s="18" t="s">
        <v>98</v>
      </c>
      <c r="C55" s="19">
        <v>140</v>
      </c>
      <c r="D55" s="19">
        <v>0.91</v>
      </c>
      <c r="E55" s="20">
        <v>3.85E-2</v>
      </c>
      <c r="F55" s="19">
        <v>1</v>
      </c>
      <c r="G55" s="21">
        <v>7.4899999999999994E-2</v>
      </c>
    </row>
    <row r="56" spans="2:7" ht="16" x14ac:dyDescent="0.2">
      <c r="B56" s="23" t="s">
        <v>99</v>
      </c>
      <c r="C56" s="24">
        <v>36</v>
      </c>
      <c r="D56" s="24">
        <v>1.1000000000000001</v>
      </c>
      <c r="E56" s="25">
        <v>8.2799999999999999E-2</v>
      </c>
      <c r="F56" s="24">
        <v>1.23</v>
      </c>
      <c r="G56" s="26">
        <v>0.1497</v>
      </c>
    </row>
    <row r="57" spans="2:7" ht="16" x14ac:dyDescent="0.2">
      <c r="B57" s="18" t="s">
        <v>100</v>
      </c>
      <c r="C57" s="19">
        <v>548</v>
      </c>
      <c r="D57" s="19">
        <v>2.12</v>
      </c>
      <c r="E57" s="20">
        <v>0.1883</v>
      </c>
      <c r="F57" s="19">
        <v>2.5499999999999998</v>
      </c>
      <c r="G57" s="21">
        <v>0.31850000000000001</v>
      </c>
    </row>
    <row r="58" spans="2:7" ht="16" x14ac:dyDescent="0.2">
      <c r="B58" s="23" t="s">
        <v>101</v>
      </c>
      <c r="C58" s="24">
        <v>179</v>
      </c>
      <c r="D58" s="24">
        <v>1.84</v>
      </c>
      <c r="E58" s="25">
        <v>0.1195</v>
      </c>
      <c r="F58" s="24">
        <v>2.91</v>
      </c>
      <c r="G58" s="26">
        <v>0.17530000000000001</v>
      </c>
    </row>
    <row r="59" spans="2:7" ht="16" x14ac:dyDescent="0.2">
      <c r="B59" s="18" t="s">
        <v>102</v>
      </c>
      <c r="C59" s="19">
        <v>437</v>
      </c>
      <c r="D59" s="19">
        <v>0.45</v>
      </c>
      <c r="E59" s="20">
        <v>2.8799999999999999E-2</v>
      </c>
      <c r="F59" s="19">
        <v>0.61</v>
      </c>
      <c r="G59" s="21">
        <v>4.9500000000000002E-2</v>
      </c>
    </row>
    <row r="60" spans="2:7" ht="16" x14ac:dyDescent="0.2">
      <c r="B60" s="23" t="s">
        <v>103</v>
      </c>
      <c r="C60" s="24">
        <v>438</v>
      </c>
      <c r="D60" s="24">
        <v>1.05</v>
      </c>
      <c r="E60" s="25">
        <v>5.0599999999999999E-2</v>
      </c>
      <c r="F60" s="24">
        <v>1.45</v>
      </c>
      <c r="G60" s="26">
        <v>8.3400000000000002E-2</v>
      </c>
    </row>
    <row r="61" spans="2:7" ht="16" x14ac:dyDescent="0.2">
      <c r="B61" s="18" t="s">
        <v>104</v>
      </c>
      <c r="C61" s="19">
        <v>269</v>
      </c>
      <c r="D61" s="19">
        <v>0.75</v>
      </c>
      <c r="E61" s="20">
        <v>2.9499999999999998E-2</v>
      </c>
      <c r="F61" s="19">
        <v>1.26</v>
      </c>
      <c r="G61" s="21">
        <v>7.0099999999999996E-2</v>
      </c>
    </row>
    <row r="62" spans="2:7" ht="16" x14ac:dyDescent="0.2">
      <c r="B62" s="23" t="s">
        <v>105</v>
      </c>
      <c r="C62" s="24">
        <v>492</v>
      </c>
      <c r="D62" s="24">
        <v>1.19</v>
      </c>
      <c r="E62" s="25">
        <v>7.6499999999999999E-2</v>
      </c>
      <c r="F62" s="24">
        <v>2.2400000000000002</v>
      </c>
      <c r="G62" s="26">
        <v>0.14030000000000001</v>
      </c>
    </row>
    <row r="63" spans="2:7" ht="16" x14ac:dyDescent="0.2">
      <c r="B63" s="18" t="s">
        <v>106</v>
      </c>
      <c r="C63" s="19">
        <v>823</v>
      </c>
      <c r="D63" s="19">
        <v>2.11</v>
      </c>
      <c r="E63" s="20">
        <v>3.4500000000000003E-2</v>
      </c>
      <c r="F63" s="19">
        <v>2.31</v>
      </c>
      <c r="G63" s="21">
        <v>0.12690000000000001</v>
      </c>
    </row>
    <row r="64" spans="2:7" ht="16" x14ac:dyDescent="0.2">
      <c r="B64" s="23" t="s">
        <v>107</v>
      </c>
      <c r="C64" s="24">
        <v>321</v>
      </c>
      <c r="D64" s="24">
        <v>1.28</v>
      </c>
      <c r="E64" s="25">
        <v>6.0199999999999997E-2</v>
      </c>
      <c r="F64" s="24">
        <v>1.33</v>
      </c>
      <c r="G64" s="26">
        <v>7.5700000000000003E-2</v>
      </c>
    </row>
    <row r="65" spans="2:7" ht="16" x14ac:dyDescent="0.2">
      <c r="B65" s="18" t="s">
        <v>108</v>
      </c>
      <c r="C65" s="19">
        <v>650</v>
      </c>
      <c r="D65" s="19">
        <v>6.09</v>
      </c>
      <c r="E65" s="20">
        <v>0.1328</v>
      </c>
      <c r="F65" s="19">
        <v>10.96</v>
      </c>
      <c r="G65" s="21">
        <v>0.29339999999999999</v>
      </c>
    </row>
    <row r="66" spans="2:7" ht="16" x14ac:dyDescent="0.2">
      <c r="B66" s="23" t="s">
        <v>109</v>
      </c>
      <c r="C66" s="24">
        <v>879</v>
      </c>
      <c r="D66" s="24">
        <v>0.72</v>
      </c>
      <c r="E66" s="25">
        <v>-1.8599999999999998E-2</v>
      </c>
      <c r="F66" s="24">
        <v>1.89</v>
      </c>
      <c r="G66" s="26">
        <v>5.5E-2</v>
      </c>
    </row>
    <row r="67" spans="2:7" ht="16" x14ac:dyDescent="0.2">
      <c r="B67" s="18" t="s">
        <v>110</v>
      </c>
      <c r="C67" s="19">
        <v>309</v>
      </c>
      <c r="D67" s="19">
        <v>1.66</v>
      </c>
      <c r="E67" s="20">
        <v>5.7799999999999997E-2</v>
      </c>
      <c r="F67" s="19">
        <v>3.45</v>
      </c>
      <c r="G67" s="21">
        <v>0.1555</v>
      </c>
    </row>
    <row r="68" spans="2:7" ht="16" x14ac:dyDescent="0.2">
      <c r="B68" s="23" t="s">
        <v>111</v>
      </c>
      <c r="C68" s="24">
        <v>749</v>
      </c>
      <c r="D68" s="24">
        <v>2.23</v>
      </c>
      <c r="E68" s="25">
        <v>-1E-3</v>
      </c>
      <c r="F68" s="24">
        <v>3.99</v>
      </c>
      <c r="G68" s="26">
        <v>0.17910000000000001</v>
      </c>
    </row>
    <row r="69" spans="2:7" ht="16" x14ac:dyDescent="0.2">
      <c r="B69" s="18" t="s">
        <v>112</v>
      </c>
      <c r="C69" s="19">
        <v>320</v>
      </c>
      <c r="D69" s="19">
        <v>1.68</v>
      </c>
      <c r="E69" s="20">
        <v>4.8300000000000003E-2</v>
      </c>
      <c r="F69" s="19">
        <v>2.02</v>
      </c>
      <c r="G69" s="21">
        <v>9.9299999999999999E-2</v>
      </c>
    </row>
    <row r="70" spans="2:7" ht="16" x14ac:dyDescent="0.2">
      <c r="B70" s="23" t="s">
        <v>113</v>
      </c>
      <c r="C70" s="24">
        <v>33</v>
      </c>
      <c r="D70" s="24">
        <v>0.87</v>
      </c>
      <c r="E70" s="25">
        <v>9.5600000000000004E-2</v>
      </c>
      <c r="F70" s="24">
        <v>0.91</v>
      </c>
      <c r="G70" s="26">
        <v>0.1273</v>
      </c>
    </row>
    <row r="71" spans="2:7" ht="16" x14ac:dyDescent="0.2">
      <c r="B71" s="18" t="s">
        <v>114</v>
      </c>
      <c r="C71" s="19">
        <v>401</v>
      </c>
      <c r="D71" s="19">
        <v>2.3199999999999998</v>
      </c>
      <c r="E71" s="20">
        <v>5.9900000000000002E-2</v>
      </c>
      <c r="F71" s="19">
        <v>2.77</v>
      </c>
      <c r="G71" s="21">
        <v>9.6600000000000005E-2</v>
      </c>
    </row>
    <row r="72" spans="2:7" ht="16" x14ac:dyDescent="0.2">
      <c r="B72" s="23" t="s">
        <v>115</v>
      </c>
      <c r="C72" s="24">
        <v>208</v>
      </c>
      <c r="D72" s="24">
        <v>0.55000000000000004</v>
      </c>
      <c r="E72" s="25">
        <v>2.7900000000000001E-2</v>
      </c>
      <c r="F72" s="24">
        <v>0.84</v>
      </c>
      <c r="G72" s="26">
        <v>4.82E-2</v>
      </c>
    </row>
    <row r="73" spans="2:7" ht="16" x14ac:dyDescent="0.2">
      <c r="B73" s="18" t="s">
        <v>116</v>
      </c>
      <c r="C73" s="19">
        <v>117</v>
      </c>
      <c r="D73" s="19">
        <v>1.75</v>
      </c>
      <c r="E73" s="20">
        <v>6.8500000000000005E-2</v>
      </c>
      <c r="F73" s="19">
        <v>2.11</v>
      </c>
      <c r="G73" s="21">
        <v>0.1051</v>
      </c>
    </row>
    <row r="74" spans="2:7" ht="16" x14ac:dyDescent="0.2">
      <c r="B74" s="23" t="s">
        <v>117</v>
      </c>
      <c r="C74" s="24">
        <v>1038</v>
      </c>
      <c r="D74" s="24">
        <v>0.56999999999999995</v>
      </c>
      <c r="E74" s="25">
        <v>3.7400000000000003E-2</v>
      </c>
      <c r="F74" s="24">
        <v>0.83</v>
      </c>
      <c r="G74" s="26">
        <v>4.9700000000000001E-2</v>
      </c>
    </row>
    <row r="75" spans="2:7" ht="16" x14ac:dyDescent="0.2">
      <c r="B75" s="18" t="s">
        <v>118</v>
      </c>
      <c r="C75" s="19">
        <v>253</v>
      </c>
      <c r="D75" s="19">
        <v>1.68</v>
      </c>
      <c r="E75" s="20">
        <v>4.24E-2</v>
      </c>
      <c r="F75" s="19">
        <v>1.83</v>
      </c>
      <c r="G75" s="21">
        <v>5.7299999999999997E-2</v>
      </c>
    </row>
    <row r="76" spans="2:7" ht="16" x14ac:dyDescent="0.2">
      <c r="B76" s="23" t="s">
        <v>119</v>
      </c>
      <c r="C76" s="24">
        <v>204</v>
      </c>
      <c r="D76" s="24">
        <v>0.47</v>
      </c>
      <c r="E76" s="25">
        <v>1.7999999999999999E-2</v>
      </c>
      <c r="F76" s="24">
        <v>0.64</v>
      </c>
      <c r="G76" s="26">
        <v>3.9399999999999998E-2</v>
      </c>
    </row>
    <row r="77" spans="2:7" ht="16" x14ac:dyDescent="0.2">
      <c r="B77" s="18" t="s">
        <v>120</v>
      </c>
      <c r="C77" s="19">
        <v>121</v>
      </c>
      <c r="D77" s="19">
        <v>6.73</v>
      </c>
      <c r="E77" s="20">
        <v>0.21060000000000001</v>
      </c>
      <c r="F77" s="19">
        <v>11.51</v>
      </c>
      <c r="G77" s="21">
        <v>0.49199999999999999</v>
      </c>
    </row>
    <row r="78" spans="2:7" ht="16" x14ac:dyDescent="0.2">
      <c r="B78" s="23" t="s">
        <v>121</v>
      </c>
      <c r="C78" s="24">
        <v>633</v>
      </c>
      <c r="D78" s="24">
        <v>1.03</v>
      </c>
      <c r="E78" s="25">
        <v>2.7E-2</v>
      </c>
      <c r="F78" s="24">
        <v>1.19</v>
      </c>
      <c r="G78" s="26">
        <v>6.0199999999999997E-2</v>
      </c>
    </row>
    <row r="79" spans="2:7" ht="16" x14ac:dyDescent="0.2">
      <c r="B79" s="18" t="s">
        <v>122</v>
      </c>
      <c r="C79" s="19">
        <v>92</v>
      </c>
      <c r="D79" s="19">
        <v>0.72</v>
      </c>
      <c r="E79" s="20">
        <v>6.08E-2</v>
      </c>
      <c r="F79" s="19">
        <v>0.94</v>
      </c>
      <c r="G79" s="21">
        <v>0.1045</v>
      </c>
    </row>
    <row r="80" spans="2:7" ht="16" x14ac:dyDescent="0.2">
      <c r="B80" s="23" t="s">
        <v>123</v>
      </c>
      <c r="C80" s="24">
        <v>665</v>
      </c>
      <c r="D80" s="24">
        <v>8.5</v>
      </c>
      <c r="E80" s="25">
        <v>0.15359999999999999</v>
      </c>
      <c r="F80" s="24">
        <v>8.7100000000000009</v>
      </c>
      <c r="G80" s="26">
        <v>0.2135</v>
      </c>
    </row>
    <row r="81" spans="2:7" ht="16" x14ac:dyDescent="0.2">
      <c r="B81" s="18" t="s">
        <v>124</v>
      </c>
      <c r="C81" s="19">
        <v>375</v>
      </c>
      <c r="D81" s="19">
        <v>4.72</v>
      </c>
      <c r="E81" s="20">
        <v>0.14649999999999999</v>
      </c>
      <c r="F81" s="19">
        <v>4.79</v>
      </c>
      <c r="G81" s="21">
        <v>0.18729999999999999</v>
      </c>
    </row>
    <row r="82" spans="2:7" ht="16" x14ac:dyDescent="0.2">
      <c r="B82" s="23" t="s">
        <v>125</v>
      </c>
      <c r="C82" s="24">
        <v>357</v>
      </c>
      <c r="D82" s="24">
        <v>1.3</v>
      </c>
      <c r="E82" s="25">
        <v>0.1411</v>
      </c>
      <c r="F82" s="24">
        <v>1.56</v>
      </c>
      <c r="G82" s="26">
        <v>0.1479</v>
      </c>
    </row>
    <row r="83" spans="2:7" ht="16" x14ac:dyDescent="0.2">
      <c r="B83" s="18" t="s">
        <v>126</v>
      </c>
      <c r="C83" s="19">
        <v>82</v>
      </c>
      <c r="D83" s="19">
        <v>2.02</v>
      </c>
      <c r="E83" s="20">
        <v>8.3500000000000005E-2</v>
      </c>
      <c r="F83" s="19">
        <v>2.12</v>
      </c>
      <c r="G83" s="21">
        <v>0.11210000000000001</v>
      </c>
    </row>
    <row r="84" spans="2:7" ht="16" x14ac:dyDescent="0.2">
      <c r="B84" s="23" t="s">
        <v>127</v>
      </c>
      <c r="C84" s="24">
        <v>311</v>
      </c>
      <c r="D84" s="24">
        <v>6.55</v>
      </c>
      <c r="E84" s="25">
        <v>0.24970000000000001</v>
      </c>
      <c r="F84" s="24">
        <v>6.63</v>
      </c>
      <c r="G84" s="26">
        <v>0.29909999999999998</v>
      </c>
    </row>
    <row r="85" spans="2:7" ht="16" x14ac:dyDescent="0.2">
      <c r="B85" s="18" t="s">
        <v>128</v>
      </c>
      <c r="C85" s="19">
        <v>147</v>
      </c>
      <c r="D85" s="19">
        <v>5.64</v>
      </c>
      <c r="E85" s="20">
        <v>2.3599999999999999E-2</v>
      </c>
      <c r="F85" s="19">
        <v>6.01</v>
      </c>
      <c r="G85" s="21">
        <v>5.0500000000000003E-2</v>
      </c>
    </row>
    <row r="86" spans="2:7" ht="16" x14ac:dyDescent="0.2">
      <c r="B86" s="23" t="s">
        <v>129</v>
      </c>
      <c r="C86" s="24">
        <v>1567</v>
      </c>
      <c r="D86" s="24">
        <v>9.7100000000000009</v>
      </c>
      <c r="E86" s="25">
        <v>0.17230000000000001</v>
      </c>
      <c r="F86" s="24">
        <v>9.9499999999999993</v>
      </c>
      <c r="G86" s="26">
        <v>0.23649999999999999</v>
      </c>
    </row>
    <row r="87" spans="2:7" ht="16" x14ac:dyDescent="0.2">
      <c r="B87" s="18" t="s">
        <v>130</v>
      </c>
      <c r="C87" s="19">
        <v>727</v>
      </c>
      <c r="D87" s="19">
        <v>0.55000000000000004</v>
      </c>
      <c r="E87" s="20">
        <v>3.2300000000000002E-2</v>
      </c>
      <c r="F87" s="19">
        <v>0.74</v>
      </c>
      <c r="G87" s="21">
        <v>5.6000000000000001E-2</v>
      </c>
    </row>
    <row r="88" spans="2:7" ht="16" x14ac:dyDescent="0.2">
      <c r="B88" s="23" t="s">
        <v>131</v>
      </c>
      <c r="C88" s="24">
        <v>98</v>
      </c>
      <c r="D88" s="24">
        <v>1.63</v>
      </c>
      <c r="E88" s="25">
        <v>9.8900000000000002E-2</v>
      </c>
      <c r="F88" s="24">
        <v>2.42</v>
      </c>
      <c r="G88" s="26">
        <v>0.1489</v>
      </c>
    </row>
    <row r="89" spans="2:7" ht="16" x14ac:dyDescent="0.2">
      <c r="B89" s="18" t="s">
        <v>132</v>
      </c>
      <c r="C89" s="19">
        <v>440</v>
      </c>
      <c r="D89" s="19">
        <v>2.96</v>
      </c>
      <c r="E89" s="20">
        <v>5.5500000000000001E-2</v>
      </c>
      <c r="F89" s="19">
        <v>3.12</v>
      </c>
      <c r="G89" s="21">
        <v>0.10150000000000001</v>
      </c>
    </row>
    <row r="90" spans="2:7" ht="16" x14ac:dyDescent="0.2">
      <c r="B90" s="23" t="s">
        <v>133</v>
      </c>
      <c r="C90" s="24">
        <v>274</v>
      </c>
      <c r="D90" s="24">
        <v>1.24</v>
      </c>
      <c r="E90" s="25">
        <v>5.4699999999999999E-2</v>
      </c>
      <c r="F90" s="24">
        <v>2.13</v>
      </c>
      <c r="G90" s="26">
        <v>0.15939999999999999</v>
      </c>
    </row>
    <row r="91" spans="2:7" ht="16" x14ac:dyDescent="0.2">
      <c r="B91" s="18" t="s">
        <v>134</v>
      </c>
      <c r="C91" s="19">
        <v>54</v>
      </c>
      <c r="D91" s="19">
        <v>3.09</v>
      </c>
      <c r="E91" s="20">
        <v>8.4599999999999995E-2</v>
      </c>
      <c r="F91" s="19">
        <v>3.81</v>
      </c>
      <c r="G91" s="21">
        <v>0.31879999999999997</v>
      </c>
    </row>
    <row r="92" spans="2:7" ht="16" x14ac:dyDescent="0.2">
      <c r="B92" s="23" t="s">
        <v>135</v>
      </c>
      <c r="C92" s="24">
        <v>446</v>
      </c>
      <c r="D92" s="24">
        <v>0.86</v>
      </c>
      <c r="E92" s="25">
        <v>4.1099999999999998E-2</v>
      </c>
      <c r="F92" s="24">
        <v>1.23</v>
      </c>
      <c r="G92" s="26">
        <v>6.7299999999999999E-2</v>
      </c>
    </row>
    <row r="93" spans="2:7" ht="16" x14ac:dyDescent="0.2">
      <c r="B93" s="18" t="s">
        <v>136</v>
      </c>
      <c r="C93" s="19">
        <v>54</v>
      </c>
      <c r="D93" s="19">
        <v>2.62</v>
      </c>
      <c r="E93" s="20">
        <v>0.1527</v>
      </c>
      <c r="F93" s="19">
        <v>3.73</v>
      </c>
      <c r="G93" s="21">
        <v>0.23119999999999999</v>
      </c>
    </row>
    <row r="94" spans="2:7" ht="16" x14ac:dyDescent="0.2">
      <c r="B94" s="23" t="s">
        <v>137</v>
      </c>
      <c r="C94" s="24">
        <v>113</v>
      </c>
      <c r="D94" s="24">
        <v>1.21</v>
      </c>
      <c r="E94" s="25">
        <v>4.0099999999999997E-2</v>
      </c>
      <c r="F94" s="24">
        <v>1.59</v>
      </c>
      <c r="G94" s="26">
        <v>7.7799999999999994E-2</v>
      </c>
    </row>
    <row r="95" spans="2:7" ht="16" x14ac:dyDescent="0.2">
      <c r="B95" s="18" t="s">
        <v>138</v>
      </c>
      <c r="C95" s="19">
        <v>52</v>
      </c>
      <c r="D95" s="19">
        <v>1.41</v>
      </c>
      <c r="E95" s="20">
        <v>7.7499999999999999E-2</v>
      </c>
      <c r="F95" s="19">
        <v>2.41</v>
      </c>
      <c r="G95" s="21">
        <v>0.14929999999999999</v>
      </c>
    </row>
    <row r="96" spans="2:7" ht="16" x14ac:dyDescent="0.2">
      <c r="B96" s="23" t="s">
        <v>139</v>
      </c>
      <c r="C96" s="24">
        <v>106</v>
      </c>
      <c r="D96" s="24">
        <v>2.37</v>
      </c>
      <c r="E96" s="25">
        <v>0.1459</v>
      </c>
      <c r="F96" s="24">
        <v>4.45</v>
      </c>
      <c r="G96" s="26">
        <v>0.26190000000000002</v>
      </c>
    </row>
    <row r="97" spans="2:7" ht="16" x14ac:dyDescent="0.2">
      <c r="B97" s="18" t="s">
        <v>144</v>
      </c>
      <c r="C97" s="19">
        <v>47810</v>
      </c>
      <c r="D97" s="19">
        <v>1.76</v>
      </c>
      <c r="E97" s="20">
        <v>7.8799999999999995E-2</v>
      </c>
      <c r="F97" s="19">
        <v>2.48</v>
      </c>
      <c r="G97" s="21">
        <v>0.1023</v>
      </c>
    </row>
    <row r="98" spans="2:7" ht="16" x14ac:dyDescent="0.2">
      <c r="B98" s="30" t="s">
        <v>141</v>
      </c>
      <c r="C98" s="31">
        <v>42750</v>
      </c>
      <c r="D98" s="31">
        <v>1.56</v>
      </c>
      <c r="E98" s="32">
        <v>5.7700000000000001E-2</v>
      </c>
      <c r="F98" s="31">
        <v>1.9</v>
      </c>
      <c r="G98" s="33">
        <v>9.7699999999999995E-2</v>
      </c>
    </row>
    <row r="100" spans="2:7" x14ac:dyDescent="0.2">
      <c r="B100" s="34" t="s">
        <v>145</v>
      </c>
    </row>
    <row r="101" spans="2:7" x14ac:dyDescent="0.2">
      <c r="B101" s="34" t="s">
        <v>146</v>
      </c>
    </row>
  </sheetData>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3CFE2-7A8B-4798-9CED-0BBC4362BF53}">
  <dimension ref="B2:H110"/>
  <sheetViews>
    <sheetView showGridLines="0" workbookViewId="0">
      <selection activeCell="P30" sqref="P30"/>
    </sheetView>
  </sheetViews>
  <sheetFormatPr baseColWidth="10" defaultColWidth="8.83203125" defaultRowHeight="15" x14ac:dyDescent="0.2"/>
  <cols>
    <col min="6" max="6" width="21.1640625" bestFit="1" customWidth="1"/>
  </cols>
  <sheetData>
    <row r="2" spans="2:8" x14ac:dyDescent="0.2">
      <c r="B2" s="14" t="s">
        <v>147</v>
      </c>
      <c r="C2" s="35"/>
      <c r="D2" s="35"/>
      <c r="E2" s="35"/>
      <c r="F2" s="35"/>
      <c r="G2" s="35"/>
      <c r="H2" s="36"/>
    </row>
    <row r="3" spans="2:8" x14ac:dyDescent="0.2">
      <c r="B3" s="22"/>
      <c r="H3" s="37"/>
    </row>
    <row r="4" spans="2:8" x14ac:dyDescent="0.2">
      <c r="B4" s="22" t="s">
        <v>148</v>
      </c>
      <c r="E4" t="s">
        <v>149</v>
      </c>
      <c r="H4" s="37"/>
    </row>
    <row r="5" spans="2:8" x14ac:dyDescent="0.2">
      <c r="B5" s="22"/>
      <c r="H5" s="37"/>
    </row>
    <row r="6" spans="2:8" x14ac:dyDescent="0.2">
      <c r="B6" s="29" t="s">
        <v>150</v>
      </c>
      <c r="C6" s="38"/>
      <c r="D6" s="38"/>
      <c r="E6" s="38"/>
      <c r="F6" s="38"/>
      <c r="G6" s="38"/>
      <c r="H6" s="39"/>
    </row>
    <row r="8" spans="2:8" x14ac:dyDescent="0.2">
      <c r="B8" s="40" t="s">
        <v>151</v>
      </c>
    </row>
    <row r="10" spans="2:8" x14ac:dyDescent="0.2">
      <c r="B10" t="s">
        <v>152</v>
      </c>
    </row>
    <row r="11" spans="2:8" x14ac:dyDescent="0.2">
      <c r="C11" t="s">
        <v>153</v>
      </c>
      <c r="D11" t="s">
        <v>154</v>
      </c>
      <c r="F11" t="s">
        <v>155</v>
      </c>
    </row>
    <row r="12" spans="2:8" x14ac:dyDescent="0.2">
      <c r="B12">
        <v>1927</v>
      </c>
      <c r="C12" s="3">
        <v>0.2944</v>
      </c>
      <c r="D12" s="3">
        <v>3.1200000000000002E-2</v>
      </c>
      <c r="F12" s="3">
        <f>AVERAGE(C12:C110)</f>
        <v>8.8628282828282834E-2</v>
      </c>
    </row>
    <row r="13" spans="2:8" x14ac:dyDescent="0.2">
      <c r="B13">
        <v>1928</v>
      </c>
      <c r="C13" s="3">
        <v>0.35560000000000003</v>
      </c>
      <c r="D13" s="3">
        <v>3.56E-2</v>
      </c>
    </row>
    <row r="14" spans="2:8" x14ac:dyDescent="0.2">
      <c r="B14">
        <v>1929</v>
      </c>
      <c r="C14" s="3">
        <v>-0.19579999999999997</v>
      </c>
      <c r="D14" s="3">
        <v>4.7500000000000001E-2</v>
      </c>
      <c r="F14" t="s">
        <v>156</v>
      </c>
    </row>
    <row r="15" spans="2:8" x14ac:dyDescent="0.2">
      <c r="B15">
        <v>1930</v>
      </c>
      <c r="C15" s="3">
        <v>-0.31140000000000001</v>
      </c>
      <c r="D15" s="3">
        <v>2.41E-2</v>
      </c>
      <c r="F15" s="3">
        <f>STDEV(C12:C110)/SQRT(COUNT(C12:C110))</f>
        <v>2.0227074312185695E-2</v>
      </c>
    </row>
    <row r="16" spans="2:8" x14ac:dyDescent="0.2">
      <c r="B16">
        <v>1931</v>
      </c>
      <c r="C16" s="3">
        <v>-0.44840000000000002</v>
      </c>
      <c r="D16" s="3">
        <v>1.0700000000000001E-2</v>
      </c>
    </row>
    <row r="17" spans="2:4" x14ac:dyDescent="0.2">
      <c r="B17">
        <v>1932</v>
      </c>
      <c r="C17" s="3">
        <v>-9.6000000000000002E-2</v>
      </c>
      <c r="D17" s="3">
        <v>9.5999999999999992E-3</v>
      </c>
    </row>
    <row r="18" spans="2:4" x14ac:dyDescent="0.2">
      <c r="B18">
        <v>1933</v>
      </c>
      <c r="C18" s="3">
        <v>0.56490000000000007</v>
      </c>
      <c r="D18" s="3">
        <v>3.0000000000000001E-3</v>
      </c>
    </row>
    <row r="19" spans="2:4" x14ac:dyDescent="0.2">
      <c r="B19">
        <v>1934</v>
      </c>
      <c r="C19" s="3">
        <v>3.0899999999999997E-2</v>
      </c>
      <c r="D19" s="3">
        <v>1.6000000000000001E-3</v>
      </c>
    </row>
    <row r="20" spans="2:4" x14ac:dyDescent="0.2">
      <c r="B20">
        <v>1935</v>
      </c>
      <c r="C20" s="3">
        <v>0.44869999999999999</v>
      </c>
      <c r="D20" s="3">
        <v>1.7000000000000001E-3</v>
      </c>
    </row>
    <row r="21" spans="2:4" x14ac:dyDescent="0.2">
      <c r="B21">
        <v>1936</v>
      </c>
      <c r="C21" s="3">
        <v>0.31980000000000003</v>
      </c>
      <c r="D21" s="3">
        <v>1.8E-3</v>
      </c>
    </row>
    <row r="22" spans="2:4" x14ac:dyDescent="0.2">
      <c r="B22">
        <v>1937</v>
      </c>
      <c r="C22" s="3">
        <v>-0.35009999999999997</v>
      </c>
      <c r="D22" s="3">
        <v>3.0999999999999999E-3</v>
      </c>
    </row>
    <row r="23" spans="2:4" x14ac:dyDescent="0.2">
      <c r="B23">
        <v>1938</v>
      </c>
      <c r="C23" s="3">
        <v>0.28220000000000001</v>
      </c>
      <c r="D23" s="3">
        <v>-2.0000000000000001E-4</v>
      </c>
    </row>
    <row r="24" spans="2:4" x14ac:dyDescent="0.2">
      <c r="B24">
        <v>1939</v>
      </c>
      <c r="C24" s="3">
        <v>2.5000000000000001E-2</v>
      </c>
      <c r="D24" s="3">
        <v>2.0000000000000001E-4</v>
      </c>
    </row>
    <row r="25" spans="2:4" x14ac:dyDescent="0.2">
      <c r="B25">
        <v>1940</v>
      </c>
      <c r="C25" s="3">
        <v>-7.2000000000000008E-2</v>
      </c>
      <c r="D25" s="3">
        <v>0</v>
      </c>
    </row>
    <row r="26" spans="2:4" x14ac:dyDescent="0.2">
      <c r="B26">
        <v>1941</v>
      </c>
      <c r="C26" s="3">
        <v>-0.10580000000000001</v>
      </c>
      <c r="D26" s="3">
        <v>5.9999999999999995E-4</v>
      </c>
    </row>
    <row r="27" spans="2:4" x14ac:dyDescent="0.2">
      <c r="B27">
        <v>1942</v>
      </c>
      <c r="C27" s="3">
        <v>0.16210000000000002</v>
      </c>
      <c r="D27" s="3">
        <v>2.7000000000000001E-3</v>
      </c>
    </row>
    <row r="28" spans="2:4" x14ac:dyDescent="0.2">
      <c r="B28">
        <v>1943</v>
      </c>
      <c r="C28" s="3">
        <v>0.28010000000000002</v>
      </c>
      <c r="D28" s="3">
        <v>3.4999999999999996E-3</v>
      </c>
    </row>
    <row r="29" spans="2:4" x14ac:dyDescent="0.2">
      <c r="B29">
        <v>1944</v>
      </c>
      <c r="C29" s="3">
        <v>0.2102</v>
      </c>
      <c r="D29" s="3">
        <v>3.3E-3</v>
      </c>
    </row>
    <row r="30" spans="2:4" x14ac:dyDescent="0.2">
      <c r="B30">
        <v>1945</v>
      </c>
      <c r="C30" s="3">
        <v>0.38420000000000004</v>
      </c>
      <c r="D30" s="3">
        <v>3.3E-3</v>
      </c>
    </row>
    <row r="31" spans="2:4" x14ac:dyDescent="0.2">
      <c r="B31">
        <v>1946</v>
      </c>
      <c r="C31" s="3">
        <v>-6.7400000000000002E-2</v>
      </c>
      <c r="D31" s="3">
        <v>3.4999999999999996E-3</v>
      </c>
    </row>
    <row r="32" spans="2:4" x14ac:dyDescent="0.2">
      <c r="B32">
        <v>1947</v>
      </c>
      <c r="C32" s="3">
        <v>2.9399999999999999E-2</v>
      </c>
      <c r="D32" s="3">
        <v>5.0000000000000001E-3</v>
      </c>
    </row>
    <row r="33" spans="2:4" x14ac:dyDescent="0.2">
      <c r="B33">
        <v>1948</v>
      </c>
      <c r="C33" s="3">
        <v>1.04E-2</v>
      </c>
      <c r="D33" s="3">
        <v>8.1000000000000013E-3</v>
      </c>
    </row>
    <row r="34" spans="2:4" x14ac:dyDescent="0.2">
      <c r="B34">
        <v>1949</v>
      </c>
      <c r="C34" s="3">
        <v>0.19079999999999997</v>
      </c>
      <c r="D34" s="3">
        <v>1.1000000000000001E-2</v>
      </c>
    </row>
    <row r="35" spans="2:4" x14ac:dyDescent="0.2">
      <c r="B35">
        <v>1950</v>
      </c>
      <c r="C35" s="3">
        <v>0.28839999999999999</v>
      </c>
      <c r="D35" s="3">
        <v>1.2E-2</v>
      </c>
    </row>
    <row r="36" spans="2:4" x14ac:dyDescent="0.2">
      <c r="B36">
        <v>1951</v>
      </c>
      <c r="C36" s="3">
        <v>0.192</v>
      </c>
      <c r="D36" s="3">
        <v>1.49E-2</v>
      </c>
    </row>
    <row r="37" spans="2:4" x14ac:dyDescent="0.2">
      <c r="B37">
        <v>1952</v>
      </c>
      <c r="C37" s="3">
        <v>0.11810000000000001</v>
      </c>
      <c r="D37" s="3">
        <v>1.66E-2</v>
      </c>
    </row>
    <row r="38" spans="2:4" x14ac:dyDescent="0.2">
      <c r="B38">
        <v>1953</v>
      </c>
      <c r="C38" s="3">
        <v>-1.1000000000000001E-2</v>
      </c>
      <c r="D38" s="3">
        <v>1.8200000000000001E-2</v>
      </c>
    </row>
    <row r="39" spans="2:4" x14ac:dyDescent="0.2">
      <c r="B39">
        <v>1954</v>
      </c>
      <c r="C39" s="3">
        <v>0.49450000000000005</v>
      </c>
      <c r="D39" s="3">
        <v>8.6E-3</v>
      </c>
    </row>
    <row r="40" spans="2:4" x14ac:dyDescent="0.2">
      <c r="B40">
        <v>1955</v>
      </c>
      <c r="C40" s="3">
        <v>0.23780000000000001</v>
      </c>
      <c r="D40" s="3">
        <v>1.5700000000000002E-2</v>
      </c>
    </row>
    <row r="41" spans="2:4" x14ac:dyDescent="0.2">
      <c r="B41">
        <v>1956</v>
      </c>
      <c r="C41" s="3">
        <v>5.8700000000000002E-2</v>
      </c>
      <c r="D41" s="3">
        <v>2.46E-2</v>
      </c>
    </row>
    <row r="42" spans="2:4" x14ac:dyDescent="0.2">
      <c r="B42">
        <v>1957</v>
      </c>
      <c r="C42" s="3">
        <v>-0.13159999999999999</v>
      </c>
      <c r="D42" s="3">
        <v>3.1400000000000004E-2</v>
      </c>
    </row>
    <row r="43" spans="2:4" x14ac:dyDescent="0.2">
      <c r="B43">
        <v>1958</v>
      </c>
      <c r="C43" s="3">
        <v>0.43430000000000002</v>
      </c>
      <c r="D43" s="3">
        <v>1.54E-2</v>
      </c>
    </row>
    <row r="44" spans="2:4" x14ac:dyDescent="0.2">
      <c r="B44">
        <v>1959</v>
      </c>
      <c r="C44" s="3">
        <v>9.7699999999999995E-2</v>
      </c>
      <c r="D44" s="3">
        <v>2.9500000000000002E-2</v>
      </c>
    </row>
    <row r="45" spans="2:4" x14ac:dyDescent="0.2">
      <c r="B45">
        <v>1960</v>
      </c>
      <c r="C45" s="3">
        <v>-1.47E-2</v>
      </c>
      <c r="D45" s="3">
        <v>2.6600000000000002E-2</v>
      </c>
    </row>
    <row r="46" spans="2:4" x14ac:dyDescent="0.2">
      <c r="B46">
        <v>1961</v>
      </c>
      <c r="C46" s="3">
        <v>0.24850000000000003</v>
      </c>
      <c r="D46" s="3">
        <v>2.1299999999999999E-2</v>
      </c>
    </row>
    <row r="47" spans="2:4" x14ac:dyDescent="0.2">
      <c r="B47">
        <v>1962</v>
      </c>
      <c r="C47" s="3">
        <v>-0.12920000000000001</v>
      </c>
      <c r="D47" s="3">
        <v>2.7300000000000001E-2</v>
      </c>
    </row>
    <row r="48" spans="2:4" x14ac:dyDescent="0.2">
      <c r="B48">
        <v>1963</v>
      </c>
      <c r="C48" s="3">
        <v>0.1784</v>
      </c>
      <c r="D48" s="3">
        <v>3.1200000000000002E-2</v>
      </c>
    </row>
    <row r="49" spans="2:4" x14ac:dyDescent="0.2">
      <c r="B49">
        <v>1964</v>
      </c>
      <c r="C49" s="3">
        <v>0.1255</v>
      </c>
      <c r="D49" s="3">
        <v>3.5400000000000001E-2</v>
      </c>
    </row>
    <row r="50" spans="2:4" x14ac:dyDescent="0.2">
      <c r="B50">
        <v>1965</v>
      </c>
      <c r="C50" s="3">
        <v>0.1052</v>
      </c>
      <c r="D50" s="3">
        <v>3.9300000000000002E-2</v>
      </c>
    </row>
    <row r="51" spans="2:4" x14ac:dyDescent="0.2">
      <c r="B51">
        <v>1966</v>
      </c>
      <c r="C51" s="3">
        <v>-0.13550000000000001</v>
      </c>
      <c r="D51" s="3">
        <v>4.7599999999999996E-2</v>
      </c>
    </row>
    <row r="52" spans="2:4" x14ac:dyDescent="0.2">
      <c r="B52">
        <v>1967</v>
      </c>
      <c r="C52" s="3">
        <v>0.245</v>
      </c>
      <c r="D52" s="3">
        <v>4.2099999999999999E-2</v>
      </c>
    </row>
    <row r="53" spans="2:4" x14ac:dyDescent="0.2">
      <c r="B53">
        <v>1968</v>
      </c>
      <c r="C53" s="3">
        <v>8.9099999999999999E-2</v>
      </c>
      <c r="D53" s="3">
        <v>5.21E-2</v>
      </c>
    </row>
    <row r="54" spans="2:4" x14ac:dyDescent="0.2">
      <c r="B54">
        <v>1969</v>
      </c>
      <c r="C54" s="3">
        <v>-0.17519999999999999</v>
      </c>
      <c r="D54" s="3">
        <v>6.5799999999999997E-2</v>
      </c>
    </row>
    <row r="55" spans="2:4" x14ac:dyDescent="0.2">
      <c r="B55">
        <v>1970</v>
      </c>
      <c r="C55" s="3">
        <v>-6.4299999999999996E-2</v>
      </c>
      <c r="D55" s="3">
        <v>6.5199999999999994E-2</v>
      </c>
    </row>
    <row r="56" spans="2:4" x14ac:dyDescent="0.2">
      <c r="B56">
        <v>1971</v>
      </c>
      <c r="C56" s="3">
        <v>0.11779999999999999</v>
      </c>
      <c r="D56" s="3">
        <v>4.3899999999999995E-2</v>
      </c>
    </row>
    <row r="57" spans="2:4" x14ac:dyDescent="0.2">
      <c r="B57">
        <v>1972</v>
      </c>
      <c r="C57" s="3">
        <v>0.13070000000000001</v>
      </c>
      <c r="D57" s="3">
        <v>3.8399999999999997E-2</v>
      </c>
    </row>
    <row r="58" spans="2:4" x14ac:dyDescent="0.2">
      <c r="B58">
        <v>1973</v>
      </c>
      <c r="C58" s="3">
        <v>-0.26250000000000001</v>
      </c>
      <c r="D58" s="3">
        <v>6.93E-2</v>
      </c>
    </row>
    <row r="59" spans="2:4" x14ac:dyDescent="0.2">
      <c r="B59">
        <v>1974</v>
      </c>
      <c r="C59" s="3">
        <v>-0.35820000000000002</v>
      </c>
      <c r="D59" s="3">
        <v>0.08</v>
      </c>
    </row>
    <row r="60" spans="2:4" x14ac:dyDescent="0.2">
      <c r="B60">
        <v>1975</v>
      </c>
      <c r="C60" s="3">
        <v>0.32549999999999996</v>
      </c>
      <c r="D60" s="3">
        <v>5.7999999999999996E-2</v>
      </c>
    </row>
    <row r="61" spans="2:4" x14ac:dyDescent="0.2">
      <c r="B61">
        <v>1976</v>
      </c>
      <c r="C61" s="3">
        <v>0.21899999999999997</v>
      </c>
      <c r="D61" s="3">
        <v>5.0799999999999998E-2</v>
      </c>
    </row>
    <row r="62" spans="2:4" x14ac:dyDescent="0.2">
      <c r="B62">
        <v>1977</v>
      </c>
      <c r="C62" s="3">
        <v>-8.2500000000000004E-2</v>
      </c>
      <c r="D62" s="3">
        <v>5.1200000000000002E-2</v>
      </c>
    </row>
    <row r="63" spans="2:4" x14ac:dyDescent="0.2">
      <c r="B63">
        <v>1978</v>
      </c>
      <c r="C63" s="3">
        <v>1.06E-2</v>
      </c>
      <c r="D63" s="3">
        <v>7.1800000000000003E-2</v>
      </c>
    </row>
    <row r="64" spans="2:4" x14ac:dyDescent="0.2">
      <c r="B64">
        <v>1979</v>
      </c>
      <c r="C64" s="3">
        <v>0.13070000000000001</v>
      </c>
      <c r="D64" s="3">
        <v>0.1038</v>
      </c>
    </row>
    <row r="65" spans="2:4" x14ac:dyDescent="0.2">
      <c r="B65">
        <v>1980</v>
      </c>
      <c r="C65" s="3">
        <v>0.21960000000000002</v>
      </c>
      <c r="D65" s="3">
        <v>0.1124</v>
      </c>
    </row>
    <row r="66" spans="2:4" x14ac:dyDescent="0.2">
      <c r="B66">
        <v>1981</v>
      </c>
      <c r="C66" s="3">
        <v>-0.1797</v>
      </c>
      <c r="D66" s="3">
        <v>0.14710000000000001</v>
      </c>
    </row>
    <row r="67" spans="2:4" x14ac:dyDescent="0.2">
      <c r="B67">
        <v>1982</v>
      </c>
      <c r="C67" s="3">
        <v>0.10929999999999999</v>
      </c>
      <c r="D67" s="3">
        <v>0.10539999999999999</v>
      </c>
    </row>
    <row r="68" spans="2:4" x14ac:dyDescent="0.2">
      <c r="B68">
        <v>1983</v>
      </c>
      <c r="C68" s="3">
        <v>0.13739999999999999</v>
      </c>
      <c r="D68" s="3">
        <v>8.8000000000000009E-2</v>
      </c>
    </row>
    <row r="69" spans="2:4" x14ac:dyDescent="0.2">
      <c r="B69">
        <v>1984</v>
      </c>
      <c r="C69" s="3">
        <v>-5.9800000000000006E-2</v>
      </c>
      <c r="D69" s="3">
        <v>9.849999999999999E-2</v>
      </c>
    </row>
    <row r="70" spans="2:4" x14ac:dyDescent="0.2">
      <c r="B70">
        <v>1985</v>
      </c>
      <c r="C70" s="3">
        <v>0.24909999999999999</v>
      </c>
      <c r="D70" s="3">
        <v>7.7199999999999991E-2</v>
      </c>
    </row>
    <row r="71" spans="2:4" x14ac:dyDescent="0.2">
      <c r="B71">
        <v>1986</v>
      </c>
      <c r="C71" s="3">
        <v>0.1027</v>
      </c>
      <c r="D71" s="3">
        <v>6.1600000000000002E-2</v>
      </c>
    </row>
    <row r="72" spans="2:4" x14ac:dyDescent="0.2">
      <c r="B72">
        <v>1987</v>
      </c>
      <c r="C72" s="3">
        <v>-3.8399999999999997E-2</v>
      </c>
      <c r="D72" s="3">
        <v>5.4699999999999999E-2</v>
      </c>
    </row>
    <row r="73" spans="2:4" x14ac:dyDescent="0.2">
      <c r="B73">
        <v>1988</v>
      </c>
      <c r="C73" s="3">
        <v>0.11630000000000001</v>
      </c>
      <c r="D73" s="3">
        <v>6.3500000000000001E-2</v>
      </c>
    </row>
    <row r="74" spans="2:4" x14ac:dyDescent="0.2">
      <c r="B74">
        <v>1989</v>
      </c>
      <c r="C74" s="3">
        <v>0.20449999999999999</v>
      </c>
      <c r="D74" s="3">
        <v>8.3699999999999997E-2</v>
      </c>
    </row>
    <row r="75" spans="2:4" x14ac:dyDescent="0.2">
      <c r="B75">
        <v>1990</v>
      </c>
      <c r="C75" s="3">
        <v>-0.1386</v>
      </c>
      <c r="D75" s="3">
        <v>7.8100000000000003E-2</v>
      </c>
    </row>
    <row r="76" spans="2:4" x14ac:dyDescent="0.2">
      <c r="B76">
        <v>1991</v>
      </c>
      <c r="C76" s="3">
        <v>0.29220000000000002</v>
      </c>
      <c r="D76" s="3">
        <v>5.5999999999999994E-2</v>
      </c>
    </row>
    <row r="77" spans="2:4" x14ac:dyDescent="0.2">
      <c r="B77">
        <v>1992</v>
      </c>
      <c r="C77" s="3">
        <v>6.2699999999999992E-2</v>
      </c>
      <c r="D77" s="3">
        <v>3.5099999999999999E-2</v>
      </c>
    </row>
    <row r="78" spans="2:4" x14ac:dyDescent="0.2">
      <c r="B78">
        <v>1993</v>
      </c>
      <c r="C78" s="3">
        <v>8.2599999999999993E-2</v>
      </c>
      <c r="D78" s="3">
        <v>2.8999999999999998E-2</v>
      </c>
    </row>
    <row r="79" spans="2:4" x14ac:dyDescent="0.2">
      <c r="B79">
        <v>1994</v>
      </c>
      <c r="C79" s="3">
        <v>-4.0500000000000001E-2</v>
      </c>
      <c r="D79" s="3">
        <v>3.9E-2</v>
      </c>
    </row>
    <row r="80" spans="2:4" x14ac:dyDescent="0.2">
      <c r="B80">
        <v>1995</v>
      </c>
      <c r="C80" s="3">
        <v>0.3125</v>
      </c>
      <c r="D80" s="3">
        <v>5.5999999999999994E-2</v>
      </c>
    </row>
    <row r="81" spans="2:4" x14ac:dyDescent="0.2">
      <c r="B81">
        <v>1996</v>
      </c>
      <c r="C81" s="3">
        <v>0.16</v>
      </c>
      <c r="D81" s="3">
        <v>5.21E-2</v>
      </c>
    </row>
    <row r="82" spans="2:4" x14ac:dyDescent="0.2">
      <c r="B82">
        <v>1997</v>
      </c>
      <c r="C82" s="3">
        <v>0.26</v>
      </c>
      <c r="D82" s="3">
        <v>5.2600000000000001E-2</v>
      </c>
    </row>
    <row r="83" spans="2:4" x14ac:dyDescent="0.2">
      <c r="B83">
        <v>1998</v>
      </c>
      <c r="C83" s="3">
        <v>0.19390000000000002</v>
      </c>
      <c r="D83" s="3">
        <v>4.8600000000000004E-2</v>
      </c>
    </row>
    <row r="84" spans="2:4" x14ac:dyDescent="0.2">
      <c r="B84">
        <v>1999</v>
      </c>
      <c r="C84" s="3">
        <v>0.20550000000000002</v>
      </c>
      <c r="D84" s="3">
        <v>4.6799999999999994E-2</v>
      </c>
    </row>
    <row r="85" spans="2:4" x14ac:dyDescent="0.2">
      <c r="B85">
        <v>2000</v>
      </c>
      <c r="C85" s="3">
        <v>-0.17480000000000001</v>
      </c>
      <c r="D85" s="3">
        <v>5.8899999999999994E-2</v>
      </c>
    </row>
    <row r="86" spans="2:4" x14ac:dyDescent="0.2">
      <c r="B86">
        <v>2001</v>
      </c>
      <c r="C86" s="3">
        <v>-0.15029999999999999</v>
      </c>
      <c r="D86" s="3">
        <v>3.8300000000000001E-2</v>
      </c>
    </row>
    <row r="87" spans="2:4" x14ac:dyDescent="0.2">
      <c r="B87">
        <v>2002</v>
      </c>
      <c r="C87" s="3">
        <v>-0.22769999999999999</v>
      </c>
      <c r="D87" s="3">
        <v>1.6500000000000001E-2</v>
      </c>
    </row>
    <row r="88" spans="2:4" x14ac:dyDescent="0.2">
      <c r="B88">
        <v>2003</v>
      </c>
      <c r="C88" s="3">
        <v>0.30670000000000003</v>
      </c>
      <c r="D88" s="3">
        <v>1.0200000000000001E-2</v>
      </c>
    </row>
    <row r="89" spans="2:4" x14ac:dyDescent="0.2">
      <c r="B89">
        <v>2004</v>
      </c>
      <c r="C89" s="3">
        <v>0.1075</v>
      </c>
      <c r="D89" s="3">
        <v>1.2E-2</v>
      </c>
    </row>
    <row r="90" spans="2:4" x14ac:dyDescent="0.2">
      <c r="B90">
        <v>2005</v>
      </c>
      <c r="C90" s="3">
        <v>3.1300000000000001E-2</v>
      </c>
      <c r="D90" s="3">
        <v>2.98E-2</v>
      </c>
    </row>
    <row r="91" spans="2:4" x14ac:dyDescent="0.2">
      <c r="B91">
        <v>2006</v>
      </c>
      <c r="C91" s="3">
        <v>0.1057</v>
      </c>
      <c r="D91" s="3">
        <v>4.8000000000000001E-2</v>
      </c>
    </row>
    <row r="92" spans="2:4" x14ac:dyDescent="0.2">
      <c r="B92">
        <v>2007</v>
      </c>
      <c r="C92" s="3">
        <v>1.0700000000000001E-2</v>
      </c>
      <c r="D92" s="3">
        <v>4.6600000000000003E-2</v>
      </c>
    </row>
    <row r="93" spans="2:4" x14ac:dyDescent="0.2">
      <c r="B93">
        <v>2008</v>
      </c>
      <c r="C93" s="3">
        <v>-0.38250000000000001</v>
      </c>
      <c r="D93" s="3">
        <v>1.6E-2</v>
      </c>
    </row>
    <row r="94" spans="2:4" x14ac:dyDescent="0.2">
      <c r="B94">
        <v>2009</v>
      </c>
      <c r="C94" s="3">
        <v>0.28550000000000003</v>
      </c>
      <c r="D94" s="3">
        <v>1E-3</v>
      </c>
    </row>
    <row r="95" spans="2:4" x14ac:dyDescent="0.2">
      <c r="B95">
        <v>2010</v>
      </c>
      <c r="C95" s="3">
        <v>0.17319999999999999</v>
      </c>
      <c r="D95" s="3">
        <v>1.1999999999999999E-3</v>
      </c>
    </row>
    <row r="96" spans="2:4" x14ac:dyDescent="0.2">
      <c r="B96">
        <v>2011</v>
      </c>
      <c r="C96" s="3">
        <v>4.7999999999999996E-3</v>
      </c>
      <c r="D96" s="3">
        <v>4.0000000000000002E-4</v>
      </c>
    </row>
    <row r="97" spans="2:4" x14ac:dyDescent="0.2">
      <c r="B97">
        <v>2012</v>
      </c>
      <c r="C97" s="3">
        <v>0.16300000000000001</v>
      </c>
      <c r="D97" s="3">
        <v>5.9999999999999995E-4</v>
      </c>
    </row>
    <row r="98" spans="2:4" x14ac:dyDescent="0.2">
      <c r="B98">
        <v>2013</v>
      </c>
      <c r="C98" s="3">
        <v>0.35159999999999997</v>
      </c>
      <c r="D98" s="3">
        <v>2.0000000000000001E-4</v>
      </c>
    </row>
    <row r="99" spans="2:4" x14ac:dyDescent="0.2">
      <c r="B99">
        <v>2014</v>
      </c>
      <c r="C99" s="3">
        <v>0.1174</v>
      </c>
      <c r="D99" s="3">
        <v>2.0000000000000001E-4</v>
      </c>
    </row>
    <row r="100" spans="2:4" x14ac:dyDescent="0.2">
      <c r="B100">
        <v>2015</v>
      </c>
      <c r="C100" s="3">
        <v>2E-3</v>
      </c>
      <c r="D100" s="3">
        <v>2.0000000000000001E-4</v>
      </c>
    </row>
    <row r="101" spans="2:4" x14ac:dyDescent="0.2">
      <c r="B101">
        <v>2016</v>
      </c>
      <c r="C101" s="3">
        <v>0.1336</v>
      </c>
      <c r="D101" s="3">
        <v>2E-3</v>
      </c>
    </row>
    <row r="102" spans="2:4" x14ac:dyDescent="0.2">
      <c r="B102">
        <v>2017</v>
      </c>
      <c r="C102" s="3">
        <v>0.215</v>
      </c>
      <c r="D102" s="3">
        <v>8.0000000000000002E-3</v>
      </c>
    </row>
    <row r="103" spans="2:4" x14ac:dyDescent="0.2">
      <c r="B103">
        <v>2018</v>
      </c>
      <c r="C103" s="3">
        <v>-6.8199999999999997E-2</v>
      </c>
      <c r="D103" s="3">
        <v>1.8100000000000002E-2</v>
      </c>
    </row>
    <row r="104" spans="2:4" x14ac:dyDescent="0.2">
      <c r="B104">
        <v>2019</v>
      </c>
      <c r="C104" s="3">
        <v>0.2843</v>
      </c>
      <c r="D104" s="3">
        <v>2.1400000000000002E-2</v>
      </c>
    </row>
    <row r="105" spans="2:4" x14ac:dyDescent="0.2">
      <c r="B105">
        <v>2020</v>
      </c>
      <c r="C105" s="3">
        <v>0.2359</v>
      </c>
      <c r="D105" s="3">
        <v>4.4000000000000003E-3</v>
      </c>
    </row>
    <row r="106" spans="2:4" x14ac:dyDescent="0.2">
      <c r="B106">
        <v>2021</v>
      </c>
      <c r="C106" s="3">
        <v>0.23870000000000002</v>
      </c>
      <c r="D106" s="3">
        <v>4.0000000000000002E-4</v>
      </c>
    </row>
    <row r="107" spans="2:4" x14ac:dyDescent="0.2">
      <c r="B107">
        <v>2022</v>
      </c>
      <c r="C107" s="3">
        <v>-0.2132</v>
      </c>
      <c r="D107" s="3">
        <v>1.4199999999999999E-2</v>
      </c>
    </row>
    <row r="108" spans="2:4" x14ac:dyDescent="0.2">
      <c r="B108">
        <v>2023</v>
      </c>
      <c r="C108" s="3">
        <v>0.2175</v>
      </c>
      <c r="D108" s="3">
        <v>4.9500000000000002E-2</v>
      </c>
    </row>
    <row r="109" spans="2:4" x14ac:dyDescent="0.2">
      <c r="B109">
        <v>2024</v>
      </c>
      <c r="C109" s="3">
        <v>0.19760000000000003</v>
      </c>
      <c r="D109" s="3">
        <v>5.2600000000000001E-2</v>
      </c>
    </row>
    <row r="110" spans="2:4" x14ac:dyDescent="0.2">
      <c r="B110">
        <v>2025</v>
      </c>
      <c r="C110" s="3">
        <v>0.13300000000000001</v>
      </c>
      <c r="D110" s="3">
        <v>4.2500000000000003E-2</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63B5E-DDB2-47CB-8934-9257F0C6B516}">
  <dimension ref="B2:G17"/>
  <sheetViews>
    <sheetView showGridLines="0" workbookViewId="0">
      <selection activeCell="G18" sqref="G18"/>
    </sheetView>
  </sheetViews>
  <sheetFormatPr baseColWidth="10" defaultColWidth="8.83203125" defaultRowHeight="15" x14ac:dyDescent="0.2"/>
  <cols>
    <col min="2" max="2" width="21.5" bestFit="1" customWidth="1"/>
    <col min="3" max="3" width="19.33203125" bestFit="1" customWidth="1"/>
    <col min="4" max="4" width="14.1640625" bestFit="1" customWidth="1"/>
    <col min="5" max="5" width="14.1640625" customWidth="1"/>
  </cols>
  <sheetData>
    <row r="2" spans="2:7" x14ac:dyDescent="0.2">
      <c r="B2" s="40" t="s">
        <v>157</v>
      </c>
    </row>
    <row r="4" spans="2:7" x14ac:dyDescent="0.2">
      <c r="B4" t="s">
        <v>158</v>
      </c>
    </row>
    <row r="6" spans="2:7" x14ac:dyDescent="0.2">
      <c r="B6" t="s">
        <v>159</v>
      </c>
    </row>
    <row r="8" spans="2:7" x14ac:dyDescent="0.2">
      <c r="B8" t="s">
        <v>159</v>
      </c>
      <c r="C8" t="s">
        <v>160</v>
      </c>
      <c r="D8" t="s">
        <v>161</v>
      </c>
      <c r="E8" t="s">
        <v>162</v>
      </c>
      <c r="F8" t="s">
        <v>163</v>
      </c>
    </row>
    <row r="9" spans="2:7" x14ac:dyDescent="0.2">
      <c r="B9" t="s">
        <v>164</v>
      </c>
      <c r="C9" s="1">
        <v>0.5</v>
      </c>
      <c r="D9" s="1">
        <v>0.1</v>
      </c>
      <c r="E9" s="1">
        <f>AVERAGE($D$9:$D$11)</f>
        <v>6.8333333333333343E-2</v>
      </c>
      <c r="F9">
        <f>C9*(D9-$E$9)^2</f>
        <v>5.0138888888888878E-4</v>
      </c>
    </row>
    <row r="10" spans="2:7" x14ac:dyDescent="0.2">
      <c r="B10" t="s">
        <v>165</v>
      </c>
      <c r="C10" s="1">
        <v>0.3</v>
      </c>
      <c r="D10" s="3">
        <v>6.5000000000000002E-2</v>
      </c>
      <c r="E10" s="1">
        <f t="shared" ref="E10:E11" si="0">AVERAGE($D$9:$D$11)</f>
        <v>6.8333333333333343E-2</v>
      </c>
      <c r="F10">
        <f t="shared" ref="F10:F11" si="1">C10*(D10-$E$9)^2</f>
        <v>3.3333333333333486E-6</v>
      </c>
    </row>
    <row r="11" spans="2:7" x14ac:dyDescent="0.2">
      <c r="B11" t="s">
        <v>166</v>
      </c>
      <c r="C11" s="1">
        <v>0.2</v>
      </c>
      <c r="D11" s="1">
        <v>0.04</v>
      </c>
      <c r="E11" s="1">
        <f t="shared" si="0"/>
        <v>6.8333333333333343E-2</v>
      </c>
      <c r="F11">
        <f t="shared" si="1"/>
        <v>1.6055555555555566E-4</v>
      </c>
    </row>
    <row r="12" spans="2:7" x14ac:dyDescent="0.2">
      <c r="C12" s="41">
        <f>SUM(C9:C11)</f>
        <v>1</v>
      </c>
      <c r="D12" s="41"/>
      <c r="E12" s="41"/>
      <c r="F12">
        <f>SUM(F9:F11)</f>
        <v>6.6527777777777787E-4</v>
      </c>
      <c r="G12" t="s">
        <v>167</v>
      </c>
    </row>
    <row r="14" spans="2:7" x14ac:dyDescent="0.2">
      <c r="B14" t="s">
        <v>162</v>
      </c>
      <c r="C14">
        <f>SUMPRODUCT(C9:C11,D9:D11)</f>
        <v>7.7500000000000013E-2</v>
      </c>
      <c r="F14" s="42">
        <f>SQRT(F12)</f>
        <v>2.5792979234236936E-2</v>
      </c>
      <c r="G14" t="s">
        <v>168</v>
      </c>
    </row>
    <row r="15" spans="2:7" x14ac:dyDescent="0.2">
      <c r="B15" t="s">
        <v>169</v>
      </c>
      <c r="C15" s="3">
        <f>F14</f>
        <v>2.5792979234236936E-2</v>
      </c>
    </row>
    <row r="17" spans="2:2" x14ac:dyDescent="0.2">
      <c r="B17" s="38" t="s">
        <v>170</v>
      </c>
    </row>
  </sheetData>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015D8-0686-4736-B1F6-6DDB88B37098}">
  <dimension ref="B2:L70"/>
  <sheetViews>
    <sheetView workbookViewId="0">
      <selection activeCell="L1" sqref="L1"/>
    </sheetView>
  </sheetViews>
  <sheetFormatPr baseColWidth="10" defaultColWidth="8.83203125" defaultRowHeight="15" x14ac:dyDescent="0.2"/>
  <cols>
    <col min="2" max="2" width="10.83203125" bestFit="1" customWidth="1"/>
    <col min="3" max="3" width="10.83203125" customWidth="1"/>
    <col min="4" max="4" width="12" bestFit="1" customWidth="1"/>
    <col min="5" max="5" width="10.5" bestFit="1" customWidth="1"/>
    <col min="11" max="11" width="10.5" customWidth="1"/>
  </cols>
  <sheetData>
    <row r="2" spans="2:12" x14ac:dyDescent="0.2">
      <c r="B2" t="e" vm="2">
        <v>#VALUE!</v>
      </c>
      <c r="G2" s="7" t="s">
        <v>238</v>
      </c>
      <c r="H2" s="7">
        <f ca="1">INDEX(LINEST(K11:K70,L11:L70,1,1),1,1)</f>
        <v>0.21866217877018404</v>
      </c>
    </row>
    <row r="3" spans="2:12" x14ac:dyDescent="0.2">
      <c r="B3" t="e" vm="3">
        <v>#VALUE!</v>
      </c>
      <c r="G3" s="7" t="s">
        <v>239</v>
      </c>
      <c r="H3" s="61">
        <f ca="1">INDEX(LINEST(K11:K70,L11:L70,1,1),2,1)</f>
        <v>0.21258934547466418</v>
      </c>
    </row>
    <row r="4" spans="2:12" x14ac:dyDescent="0.2">
      <c r="B4" t="e" vm="1">
        <v>#VALUE!</v>
      </c>
    </row>
    <row r="6" spans="2:12" x14ac:dyDescent="0.2">
      <c r="B6" s="50">
        <v>44256</v>
      </c>
      <c r="C6" s="50"/>
    </row>
    <row r="7" spans="2:12" x14ac:dyDescent="0.2">
      <c r="B7" s="50">
        <v>46082</v>
      </c>
      <c r="C7" s="50"/>
    </row>
    <row r="9" spans="2:12" x14ac:dyDescent="0.2">
      <c r="C9" t="s">
        <v>240</v>
      </c>
      <c r="D9" t="s">
        <v>241</v>
      </c>
      <c r="E9" t="s">
        <v>242</v>
      </c>
    </row>
    <row r="10" spans="2:12" x14ac:dyDescent="0.2">
      <c r="B10" cm="1" vm="4">
        <f t="array" aca="1" ref="B10:C70" ca="1">_xlfn.STOCKHISTORY(B2,$B$6,$B$7,2,0)</f>
        <v>44256</v>
      </c>
      <c r="C10" vm="5">
        <f ca="1"/>
        <v>18.829999999999998</v>
      </c>
      <c r="D10" cm="1" vm="6">
        <f t="array" aca="1" ref="D10:D70" ca="1">_xlfn.STOCKHISTORY(B3,$B$6,$B$7,2,0,1)</f>
        <v>396.33</v>
      </c>
      <c r="E10" cm="1" vm="7">
        <f t="array" aca="1" ref="E10:E70" ca="1">_xlfn.STOCKHISTORY(B4,$B$6,$B$7,2,0,1)</f>
        <v>94.484399999999994</v>
      </c>
      <c r="G10" t="s">
        <v>243</v>
      </c>
      <c r="H10" t="s">
        <v>244</v>
      </c>
      <c r="I10" t="s">
        <v>245</v>
      </c>
      <c r="K10" t="s">
        <v>246</v>
      </c>
      <c r="L10" t="s">
        <v>247</v>
      </c>
    </row>
    <row r="11" spans="2:12" x14ac:dyDescent="0.2">
      <c r="B11" vm="8">
        <f ca="1"/>
        <v>44287</v>
      </c>
      <c r="C11" vm="9">
        <f ca="1"/>
        <v>20.059999999999999</v>
      </c>
      <c r="D11" vm="10">
        <f ca="1"/>
        <v>417.3</v>
      </c>
      <c r="E11" vm="11">
        <f ca="1"/>
        <v>95.484399999999994</v>
      </c>
      <c r="G11" s="3">
        <f ca="1">(C11-C10)/C10</f>
        <v>6.5321295804567206E-2</v>
      </c>
      <c r="H11" s="3">
        <f ca="1">(D11-D10)/D10</f>
        <v>5.291045341003716E-2</v>
      </c>
      <c r="I11" s="3">
        <f ca="1">(E11-E10)/E10</f>
        <v>1.0583757742018789E-2</v>
      </c>
      <c r="K11" s="3">
        <f ca="1">G11-I11</f>
        <v>5.4737538062548413E-2</v>
      </c>
      <c r="L11" s="3">
        <f ca="1">H11-I11</f>
        <v>4.2326695668018374E-2</v>
      </c>
    </row>
    <row r="12" spans="2:12" x14ac:dyDescent="0.2">
      <c r="B12" vm="12">
        <f ca="1"/>
        <v>44317</v>
      </c>
      <c r="C12" vm="13">
        <f ca="1"/>
        <v>19.39</v>
      </c>
      <c r="D12" vm="14">
        <f ca="1"/>
        <v>420.04</v>
      </c>
      <c r="E12" vm="15">
        <f ca="1"/>
        <v>100.14060000000001</v>
      </c>
      <c r="G12" s="3">
        <f t="shared" ref="G12:G70" ca="1" si="0">(C12-C11)/C11</f>
        <v>-3.3399800598205291E-2</v>
      </c>
      <c r="H12" s="3">
        <f t="shared" ref="H12:H70" ca="1" si="1">(D12-D11)/D11</f>
        <v>6.566019650131821E-3</v>
      </c>
      <c r="I12" s="3">
        <f t="shared" ref="I12:I70" ca="1" si="2">(E12-E11)/E11</f>
        <v>4.8763986577912338E-2</v>
      </c>
      <c r="K12" s="3">
        <f t="shared" ref="K12:K70" ca="1" si="3">G12-I12</f>
        <v>-8.2163787176117636E-2</v>
      </c>
      <c r="L12" s="3">
        <f t="shared" ref="L12:L70" ca="1" si="4">H12-I12</f>
        <v>-4.2197966927780516E-2</v>
      </c>
    </row>
    <row r="13" spans="2:12" x14ac:dyDescent="0.2">
      <c r="B13" vm="16">
        <f ca="1"/>
        <v>44348</v>
      </c>
      <c r="C13" vm="17">
        <f ca="1"/>
        <v>18.760000000000002</v>
      </c>
      <c r="D13" vm="18">
        <f ca="1"/>
        <v>428.06</v>
      </c>
      <c r="E13" vm="19">
        <f ca="1"/>
        <v>101.4063</v>
      </c>
      <c r="G13" s="3">
        <f t="shared" ca="1" si="0"/>
        <v>-3.2490974729241826E-2</v>
      </c>
      <c r="H13" s="3">
        <f t="shared" ca="1" si="1"/>
        <v>1.9093419674316686E-2</v>
      </c>
      <c r="I13" s="3">
        <f t="shared" ca="1" si="2"/>
        <v>1.2639229243683334E-2</v>
      </c>
      <c r="K13" s="3">
        <f t="shared" ca="1" si="3"/>
        <v>-4.5130203972925158E-2</v>
      </c>
      <c r="L13" s="3">
        <f t="shared" ca="1" si="4"/>
        <v>6.4541904306333522E-3</v>
      </c>
    </row>
    <row r="14" spans="2:12" x14ac:dyDescent="0.2">
      <c r="B14" vm="20">
        <f ca="1"/>
        <v>44378</v>
      </c>
      <c r="C14" vm="21">
        <f ca="1"/>
        <v>17.72</v>
      </c>
      <c r="D14" vm="22">
        <f ca="1"/>
        <v>438.51</v>
      </c>
      <c r="E14" vm="23">
        <f ca="1"/>
        <v>103.67189999999999</v>
      </c>
      <c r="G14" s="3">
        <f t="shared" ca="1" si="0"/>
        <v>-5.5437100213219757E-2</v>
      </c>
      <c r="H14" s="3">
        <f t="shared" ca="1" si="1"/>
        <v>2.4412465542213681E-2</v>
      </c>
      <c r="I14" s="3">
        <f t="shared" ca="1" si="2"/>
        <v>2.2341807165826896E-2</v>
      </c>
      <c r="K14" s="3">
        <f t="shared" ca="1" si="3"/>
        <v>-7.777890737904665E-2</v>
      </c>
      <c r="L14" s="3">
        <f t="shared" ca="1" si="4"/>
        <v>2.0706583763867858E-3</v>
      </c>
    </row>
    <row r="15" spans="2:12" x14ac:dyDescent="0.2">
      <c r="B15" vm="24">
        <f ca="1"/>
        <v>44409</v>
      </c>
      <c r="C15" vm="21">
        <f ca="1"/>
        <v>17.72</v>
      </c>
      <c r="D15" vm="25">
        <f ca="1"/>
        <v>451.56</v>
      </c>
      <c r="E15" vm="26">
        <f ca="1"/>
        <v>99.406300000000002</v>
      </c>
      <c r="G15" s="3">
        <f t="shared" ca="1" si="0"/>
        <v>0</v>
      </c>
      <c r="H15" s="3">
        <f t="shared" ca="1" si="1"/>
        <v>2.9759868646097035E-2</v>
      </c>
      <c r="I15" s="3">
        <f t="shared" ca="1" si="2"/>
        <v>-4.1145189776593198E-2</v>
      </c>
      <c r="K15" s="3">
        <f t="shared" ca="1" si="3"/>
        <v>4.1145189776593198E-2</v>
      </c>
      <c r="L15" s="3">
        <f t="shared" ca="1" si="4"/>
        <v>7.0905058422690237E-2</v>
      </c>
    </row>
    <row r="16" spans="2:12" x14ac:dyDescent="0.2">
      <c r="B16" vm="27">
        <f ca="1"/>
        <v>44440</v>
      </c>
      <c r="C16" vm="28">
        <f ca="1"/>
        <v>19.72</v>
      </c>
      <c r="D16" vm="29">
        <f ca="1"/>
        <v>429.14</v>
      </c>
      <c r="E16" vm="30">
        <f ca="1"/>
        <v>97.703100000000006</v>
      </c>
      <c r="G16" s="3">
        <f t="shared" ca="1" si="0"/>
        <v>0.11286681715575622</v>
      </c>
      <c r="H16" s="3">
        <f t="shared" ca="1" si="1"/>
        <v>-4.9650101869076126E-2</v>
      </c>
      <c r="I16" s="3">
        <f t="shared" ca="1" si="2"/>
        <v>-1.7133722912934041E-2</v>
      </c>
      <c r="K16" s="3">
        <f t="shared" ca="1" si="3"/>
        <v>0.13000054006869027</v>
      </c>
      <c r="L16" s="3">
        <f t="shared" ca="1" si="4"/>
        <v>-3.2516378956142081E-2</v>
      </c>
    </row>
    <row r="17" spans="2:12" x14ac:dyDescent="0.2">
      <c r="B17" vm="31">
        <f ca="1"/>
        <v>44470</v>
      </c>
      <c r="C17" vm="32">
        <f ca="1"/>
        <v>19.66</v>
      </c>
      <c r="D17" vm="33">
        <f ca="1"/>
        <v>459.25</v>
      </c>
      <c r="E17" vm="34">
        <f ca="1"/>
        <v>97.078100000000006</v>
      </c>
      <c r="G17" s="3">
        <f t="shared" ca="1" si="0"/>
        <v>-3.0425963488843167E-3</v>
      </c>
      <c r="H17" s="3">
        <f t="shared" ca="1" si="1"/>
        <v>7.0163582979913347E-2</v>
      </c>
      <c r="I17" s="3">
        <f t="shared" ca="1" si="2"/>
        <v>-6.3969311106812365E-3</v>
      </c>
      <c r="K17" s="3">
        <f t="shared" ca="1" si="3"/>
        <v>3.3543347617969199E-3</v>
      </c>
      <c r="L17" s="3">
        <f t="shared" ca="1" si="4"/>
        <v>7.6560514090594584E-2</v>
      </c>
    </row>
    <row r="18" spans="2:12" x14ac:dyDescent="0.2">
      <c r="B18" vm="35">
        <f ca="1"/>
        <v>44501</v>
      </c>
      <c r="C18" vm="36">
        <f ca="1"/>
        <v>19.75</v>
      </c>
      <c r="D18" vm="37">
        <f ca="1"/>
        <v>455.56</v>
      </c>
      <c r="E18" vm="38">
        <f ca="1"/>
        <v>98.656300000000002</v>
      </c>
      <c r="G18" s="3">
        <f t="shared" ca="1" si="0"/>
        <v>4.5778229908443472E-3</v>
      </c>
      <c r="H18" s="3">
        <f t="shared" ca="1" si="1"/>
        <v>-8.0348394120849168E-3</v>
      </c>
      <c r="I18" s="3">
        <f t="shared" ca="1" si="2"/>
        <v>1.6257013682797618E-2</v>
      </c>
      <c r="K18" s="3">
        <f t="shared" ca="1" si="3"/>
        <v>-1.1679190691953271E-2</v>
      </c>
      <c r="L18" s="3">
        <f t="shared" ca="1" si="4"/>
        <v>-2.4291853094882535E-2</v>
      </c>
    </row>
    <row r="19" spans="2:12" x14ac:dyDescent="0.2">
      <c r="B19" vm="39">
        <f ca="1"/>
        <v>44531</v>
      </c>
      <c r="C19" vm="40">
        <f ca="1"/>
        <v>18.559999999999999</v>
      </c>
      <c r="D19" vm="41">
        <f ca="1"/>
        <v>474.96</v>
      </c>
      <c r="E19" vm="42">
        <f ca="1"/>
        <v>98.75</v>
      </c>
      <c r="G19" s="3">
        <f t="shared" ca="1" si="0"/>
        <v>-6.0253164556962092E-2</v>
      </c>
      <c r="H19" s="3">
        <f t="shared" ca="1" si="1"/>
        <v>4.2584950390727842E-2</v>
      </c>
      <c r="I19" s="3">
        <f t="shared" ca="1" si="2"/>
        <v>9.4976195134014081E-4</v>
      </c>
      <c r="K19" s="3">
        <f t="shared" ca="1" si="3"/>
        <v>-6.1202926508302231E-2</v>
      </c>
      <c r="L19" s="3">
        <f t="shared" ca="1" si="4"/>
        <v>4.1635188439387703E-2</v>
      </c>
    </row>
    <row r="20" spans="2:12" x14ac:dyDescent="0.2">
      <c r="B20" vm="43">
        <f ca="1"/>
        <v>44562</v>
      </c>
      <c r="C20" vm="44">
        <f ca="1"/>
        <v>19.36</v>
      </c>
      <c r="D20" vm="45">
        <f ca="1"/>
        <v>449.91</v>
      </c>
      <c r="E20" vm="46">
        <f ca="1"/>
        <v>96.296899999999994</v>
      </c>
      <c r="G20" s="3">
        <f t="shared" ca="1" si="0"/>
        <v>4.3103448275862113E-2</v>
      </c>
      <c r="H20" s="3">
        <f t="shared" ca="1" si="1"/>
        <v>-5.2741283476503191E-2</v>
      </c>
      <c r="I20" s="3">
        <f t="shared" ca="1" si="2"/>
        <v>-2.4841518987341837E-2</v>
      </c>
      <c r="K20" s="3">
        <f t="shared" ca="1" si="3"/>
        <v>6.7944967263203954E-2</v>
      </c>
      <c r="L20" s="3">
        <f t="shared" ca="1" si="4"/>
        <v>-2.7899764489161354E-2</v>
      </c>
    </row>
    <row r="21" spans="2:12" x14ac:dyDescent="0.2">
      <c r="B21" vm="47">
        <f ca="1"/>
        <v>44593</v>
      </c>
      <c r="C21" vm="48">
        <f ca="1"/>
        <v>22.92</v>
      </c>
      <c r="D21" vm="49">
        <f ca="1"/>
        <v>436.63</v>
      </c>
      <c r="E21" vm="50">
        <f ca="1"/>
        <v>99.75</v>
      </c>
      <c r="G21" s="3">
        <f t="shared" ca="1" si="0"/>
        <v>0.18388429752066127</v>
      </c>
      <c r="H21" s="3">
        <f t="shared" ca="1" si="1"/>
        <v>-2.9517014514013978E-2</v>
      </c>
      <c r="I21" s="3">
        <f t="shared" ca="1" si="2"/>
        <v>3.5858890576955293E-2</v>
      </c>
      <c r="K21" s="3">
        <f t="shared" ca="1" si="3"/>
        <v>0.14802540694370597</v>
      </c>
      <c r="L21" s="3">
        <f t="shared" ca="1" si="4"/>
        <v>-6.5375905090969272E-2</v>
      </c>
    </row>
    <row r="22" spans="2:12" x14ac:dyDescent="0.2">
      <c r="B22" vm="51">
        <f ca="1"/>
        <v>44621</v>
      </c>
      <c r="C22" vm="52">
        <f ca="1"/>
        <v>22.4</v>
      </c>
      <c r="D22" vm="53">
        <f ca="1"/>
        <v>451.64</v>
      </c>
      <c r="E22" vm="54">
        <f ca="1"/>
        <v>95.8125</v>
      </c>
      <c r="G22" s="3">
        <f t="shared" ca="1" si="0"/>
        <v>-2.2687609075043764E-2</v>
      </c>
      <c r="H22" s="3">
        <f t="shared" ca="1" si="1"/>
        <v>3.4376932414172161E-2</v>
      </c>
      <c r="I22" s="3">
        <f t="shared" ca="1" si="2"/>
        <v>-3.9473684210526314E-2</v>
      </c>
      <c r="K22" s="3">
        <f t="shared" ca="1" si="3"/>
        <v>1.678607513548255E-2</v>
      </c>
      <c r="L22" s="3">
        <f t="shared" ca="1" si="4"/>
        <v>7.3850616624698467E-2</v>
      </c>
    </row>
    <row r="23" spans="2:12" x14ac:dyDescent="0.2">
      <c r="B23" vm="55">
        <f ca="1"/>
        <v>44652</v>
      </c>
      <c r="C23" vm="56">
        <f ca="1"/>
        <v>22.05</v>
      </c>
      <c r="D23" vm="57">
        <f ca="1"/>
        <v>412</v>
      </c>
      <c r="E23" vm="58">
        <f ca="1"/>
        <v>91.015600000000006</v>
      </c>
      <c r="G23" s="3">
        <f t="shared" ca="1" si="0"/>
        <v>-1.5624999999999906E-2</v>
      </c>
      <c r="H23" s="3">
        <f t="shared" ca="1" si="1"/>
        <v>-8.7769019573111298E-2</v>
      </c>
      <c r="I23" s="3">
        <f t="shared" ca="1" si="2"/>
        <v>-5.0065492498369148E-2</v>
      </c>
      <c r="K23" s="3">
        <f t="shared" ca="1" si="3"/>
        <v>3.4440492498369238E-2</v>
      </c>
      <c r="L23" s="3">
        <f t="shared" ca="1" si="4"/>
        <v>-3.7703527074742151E-2</v>
      </c>
    </row>
    <row r="24" spans="2:12" x14ac:dyDescent="0.2">
      <c r="B24" vm="59">
        <f ca="1"/>
        <v>44682</v>
      </c>
      <c r="C24" vm="60">
        <f ca="1"/>
        <v>21.9</v>
      </c>
      <c r="D24" vm="61">
        <f ca="1"/>
        <v>412.93</v>
      </c>
      <c r="E24" vm="62">
        <f ca="1"/>
        <v>100.0938</v>
      </c>
      <c r="G24" s="3">
        <f t="shared" ca="1" si="0"/>
        <v>-6.8027210884354702E-3</v>
      </c>
      <c r="H24" s="3">
        <f t="shared" ca="1" si="1"/>
        <v>2.2572815533980746E-3</v>
      </c>
      <c r="I24" s="3">
        <f t="shared" ca="1" si="2"/>
        <v>9.9743340702033445E-2</v>
      </c>
      <c r="K24" s="3">
        <f t="shared" ca="1" si="3"/>
        <v>-0.10654606179046891</v>
      </c>
      <c r="L24" s="3">
        <f t="shared" ca="1" si="4"/>
        <v>-9.7486059148635368E-2</v>
      </c>
    </row>
    <row r="25" spans="2:12" x14ac:dyDescent="0.2">
      <c r="B25" vm="63">
        <f ca="1"/>
        <v>44713</v>
      </c>
      <c r="C25" vm="64">
        <f ca="1"/>
        <v>20.97</v>
      </c>
      <c r="D25" vm="65">
        <f ca="1"/>
        <v>377.25</v>
      </c>
      <c r="E25" vm="66">
        <f ca="1"/>
        <v>98.796899999999994</v>
      </c>
      <c r="G25" s="3">
        <f t="shared" ca="1" si="0"/>
        <v>-4.2465753424657526E-2</v>
      </c>
      <c r="H25" s="3">
        <f t="shared" ca="1" si="1"/>
        <v>-8.6406897052769244E-2</v>
      </c>
      <c r="I25" s="3">
        <f t="shared" ca="1" si="2"/>
        <v>-1.2956846478003712E-2</v>
      </c>
      <c r="K25" s="3">
        <f t="shared" ca="1" si="3"/>
        <v>-2.9508906946653812E-2</v>
      </c>
      <c r="L25" s="3">
        <f t="shared" ca="1" si="4"/>
        <v>-7.345005057476553E-2</v>
      </c>
    </row>
    <row r="26" spans="2:12" x14ac:dyDescent="0.2">
      <c r="B26" vm="67">
        <f ca="1"/>
        <v>44743</v>
      </c>
      <c r="C26" vm="68">
        <f ca="1"/>
        <v>20.94</v>
      </c>
      <c r="D26" vm="69">
        <f ca="1"/>
        <v>411.99</v>
      </c>
      <c r="E26" vm="70">
        <f ca="1"/>
        <v>101.7813</v>
      </c>
      <c r="G26" s="3">
        <f t="shared" ca="1" si="0"/>
        <v>-1.4306151645206288E-3</v>
      </c>
      <c r="H26" s="3">
        <f t="shared" ca="1" si="1"/>
        <v>9.2087475149105397E-2</v>
      </c>
      <c r="I26" s="3">
        <f t="shared" ca="1" si="2"/>
        <v>3.0207425536631291E-2</v>
      </c>
      <c r="K26" s="3">
        <f t="shared" ca="1" si="3"/>
        <v>-3.163804070115192E-2</v>
      </c>
      <c r="L26" s="3">
        <f t="shared" ca="1" si="4"/>
        <v>6.1880049612474106E-2</v>
      </c>
    </row>
    <row r="27" spans="2:12" x14ac:dyDescent="0.2">
      <c r="B27" vm="71">
        <f ca="1"/>
        <v>44774</v>
      </c>
      <c r="C27" vm="72">
        <f ca="1"/>
        <v>21.4</v>
      </c>
      <c r="D27" vm="73">
        <f ca="1"/>
        <v>395.18</v>
      </c>
      <c r="E27" vm="74">
        <f ca="1"/>
        <v>96.234399999999994</v>
      </c>
      <c r="G27" s="3">
        <f t="shared" ca="1" si="0"/>
        <v>2.1967526265520405E-2</v>
      </c>
      <c r="H27" s="3">
        <f t="shared" ca="1" si="1"/>
        <v>-4.0801961212650797E-2</v>
      </c>
      <c r="I27" s="3">
        <f t="shared" ca="1" si="2"/>
        <v>-5.4498223151011119E-2</v>
      </c>
      <c r="K27" s="3">
        <f t="shared" ca="1" si="3"/>
        <v>7.6465749416531531E-2</v>
      </c>
      <c r="L27" s="3">
        <f t="shared" ca="1" si="4"/>
        <v>1.3696261938360321E-2</v>
      </c>
    </row>
    <row r="28" spans="2:12" x14ac:dyDescent="0.2">
      <c r="B28" vm="75">
        <f ca="1"/>
        <v>44805</v>
      </c>
      <c r="C28" vm="76">
        <f ca="1"/>
        <v>20.68</v>
      </c>
      <c r="D28" vm="77">
        <f ca="1"/>
        <v>357.18</v>
      </c>
      <c r="E28" vm="78">
        <f ca="1"/>
        <v>91.203100000000006</v>
      </c>
      <c r="G28" s="3">
        <f t="shared" ca="1" si="0"/>
        <v>-3.3644859813084065E-2</v>
      </c>
      <c r="H28" s="3">
        <f t="shared" ca="1" si="1"/>
        <v>-9.615871248544966E-2</v>
      </c>
      <c r="I28" s="3">
        <f t="shared" ca="1" si="2"/>
        <v>-5.2281720465862394E-2</v>
      </c>
      <c r="K28" s="3">
        <f t="shared" ca="1" si="3"/>
        <v>1.863686065277833E-2</v>
      </c>
      <c r="L28" s="3">
        <f t="shared" ca="1" si="4"/>
        <v>-4.3876992019587266E-2</v>
      </c>
    </row>
    <row r="29" spans="2:12" x14ac:dyDescent="0.2">
      <c r="B29" vm="79">
        <f ca="1"/>
        <v>44835</v>
      </c>
      <c r="C29" vm="80">
        <f ca="1"/>
        <v>20.88</v>
      </c>
      <c r="D29" vm="81">
        <f ca="1"/>
        <v>386.21</v>
      </c>
      <c r="E29" vm="82">
        <f ca="1"/>
        <v>89.531300000000002</v>
      </c>
      <c r="G29" s="3">
        <f t="shared" ca="1" si="0"/>
        <v>9.6711798839458074E-3</v>
      </c>
      <c r="H29" s="3">
        <f t="shared" ca="1" si="1"/>
        <v>8.1275547343076238E-2</v>
      </c>
      <c r="I29" s="3">
        <f t="shared" ca="1" si="2"/>
        <v>-1.8330517274083934E-2</v>
      </c>
      <c r="K29" s="3">
        <f t="shared" ca="1" si="3"/>
        <v>2.8001697158029741E-2</v>
      </c>
      <c r="L29" s="3">
        <f t="shared" ca="1" si="4"/>
        <v>9.9606064617160178E-2</v>
      </c>
    </row>
    <row r="30" spans="2:12" x14ac:dyDescent="0.2">
      <c r="B30" vm="83">
        <f ca="1"/>
        <v>44866</v>
      </c>
      <c r="C30" vm="84">
        <f ca="1"/>
        <v>19.739999999999998</v>
      </c>
      <c r="D30" vm="85">
        <f ca="1"/>
        <v>407.68</v>
      </c>
      <c r="E30" vm="86">
        <f ca="1"/>
        <v>103.1875</v>
      </c>
      <c r="G30" s="3">
        <f t="shared" ca="1" si="0"/>
        <v>-5.4597701149425318E-2</v>
      </c>
      <c r="H30" s="3">
        <f t="shared" ca="1" si="1"/>
        <v>5.5591517568162475E-2</v>
      </c>
      <c r="I30" s="3">
        <f t="shared" ca="1" si="2"/>
        <v>0.15252989736550232</v>
      </c>
      <c r="K30" s="3">
        <f t="shared" ca="1" si="3"/>
        <v>-0.20712759851492762</v>
      </c>
      <c r="L30" s="3">
        <f t="shared" ca="1" si="4"/>
        <v>-9.6938379797339852E-2</v>
      </c>
    </row>
    <row r="31" spans="2:12" x14ac:dyDescent="0.2">
      <c r="B31" vm="87">
        <f ca="1"/>
        <v>44896</v>
      </c>
      <c r="C31" vm="88">
        <f ca="1"/>
        <v>21.19</v>
      </c>
      <c r="D31" vm="89">
        <f ca="1"/>
        <v>382.43</v>
      </c>
      <c r="E31" vm="90">
        <f ca="1"/>
        <v>102</v>
      </c>
      <c r="G31" s="3">
        <f t="shared" ca="1" si="0"/>
        <v>7.3454913880445949E-2</v>
      </c>
      <c r="H31" s="3">
        <f t="shared" ca="1" si="1"/>
        <v>-6.1935832025117737E-2</v>
      </c>
      <c r="I31" s="3">
        <f t="shared" ca="1" si="2"/>
        <v>-1.1508176862507571E-2</v>
      </c>
      <c r="K31" s="3">
        <f t="shared" ca="1" si="3"/>
        <v>8.4963090742953523E-2</v>
      </c>
      <c r="L31" s="3">
        <f t="shared" ca="1" si="4"/>
        <v>-5.0427655162610163E-2</v>
      </c>
    </row>
    <row r="32" spans="2:12" x14ac:dyDescent="0.2">
      <c r="B32" vm="91">
        <f ca="1"/>
        <v>44927</v>
      </c>
      <c r="C32" vm="92">
        <f ca="1"/>
        <v>19.93</v>
      </c>
      <c r="D32" vm="93">
        <f ca="1"/>
        <v>406.48</v>
      </c>
      <c r="E32" vm="94">
        <f ca="1"/>
        <v>104.8438</v>
      </c>
      <c r="G32" s="3">
        <f t="shared" ca="1" si="0"/>
        <v>-5.9462010382255855E-2</v>
      </c>
      <c r="H32" s="3">
        <f t="shared" ca="1" si="1"/>
        <v>6.2887325785111026E-2</v>
      </c>
      <c r="I32" s="3">
        <f t="shared" ca="1" si="2"/>
        <v>2.7880392156862763E-2</v>
      </c>
      <c r="K32" s="3">
        <f t="shared" ca="1" si="3"/>
        <v>-8.7342402539118624E-2</v>
      </c>
      <c r="L32" s="3">
        <f t="shared" ca="1" si="4"/>
        <v>3.5006933628248263E-2</v>
      </c>
    </row>
    <row r="33" spans="2:12" x14ac:dyDescent="0.2">
      <c r="B33" vm="95">
        <f ca="1"/>
        <v>44958</v>
      </c>
      <c r="C33" vm="96">
        <f ca="1"/>
        <v>17.399999999999999</v>
      </c>
      <c r="D33" vm="97">
        <f ca="1"/>
        <v>396.26</v>
      </c>
      <c r="E33" vm="98">
        <f ca="1"/>
        <v>96.531300000000002</v>
      </c>
      <c r="G33" s="3">
        <f t="shared" ca="1" si="0"/>
        <v>-0.12694430506773713</v>
      </c>
      <c r="H33" s="3">
        <f t="shared" ca="1" si="1"/>
        <v>-2.5142688447156138E-2</v>
      </c>
      <c r="I33" s="3">
        <f t="shared" ca="1" si="2"/>
        <v>-7.9284611965609791E-2</v>
      </c>
      <c r="K33" s="3">
        <f t="shared" ca="1" si="3"/>
        <v>-4.7659693102127337E-2</v>
      </c>
      <c r="L33" s="3">
        <f t="shared" ca="1" si="4"/>
        <v>5.414192351845365E-2</v>
      </c>
    </row>
    <row r="34" spans="2:12" x14ac:dyDescent="0.2">
      <c r="B34" vm="99">
        <f ca="1"/>
        <v>44986</v>
      </c>
      <c r="C34" vm="100">
        <f ca="1"/>
        <v>16.91</v>
      </c>
      <c r="D34" vm="101">
        <f ca="1"/>
        <v>409.39</v>
      </c>
      <c r="E34" vm="102">
        <f ca="1"/>
        <v>100.2188</v>
      </c>
      <c r="G34" s="3">
        <f t="shared" ca="1" si="0"/>
        <v>-2.8160919540229798E-2</v>
      </c>
      <c r="H34" s="3">
        <f t="shared" ca="1" si="1"/>
        <v>3.3134810477968998E-2</v>
      </c>
      <c r="I34" s="3">
        <f t="shared" ca="1" si="2"/>
        <v>3.8200044959510543E-2</v>
      </c>
      <c r="K34" s="3">
        <f t="shared" ca="1" si="3"/>
        <v>-6.6360964499740341E-2</v>
      </c>
      <c r="L34" s="3">
        <f t="shared" ca="1" si="4"/>
        <v>-5.0652344815415445E-3</v>
      </c>
    </row>
    <row r="35" spans="2:12" x14ac:dyDescent="0.2">
      <c r="B35" vm="103">
        <f ca="1"/>
        <v>45017</v>
      </c>
      <c r="C35" vm="104">
        <f ca="1"/>
        <v>17.100000000000001</v>
      </c>
      <c r="D35" vm="105">
        <f ca="1"/>
        <v>415.93</v>
      </c>
      <c r="E35" vm="106">
        <f ca="1"/>
        <v>100.42189999999999</v>
      </c>
      <c r="G35" s="3">
        <f t="shared" ca="1" si="0"/>
        <v>1.1235955056179851E-2</v>
      </c>
      <c r="H35" s="3">
        <f t="shared" ca="1" si="1"/>
        <v>1.5974987176042454E-2</v>
      </c>
      <c r="I35" s="3">
        <f t="shared" ca="1" si="2"/>
        <v>2.0265658738678975E-3</v>
      </c>
      <c r="K35" s="3">
        <f t="shared" ca="1" si="3"/>
        <v>9.2093891823119538E-3</v>
      </c>
      <c r="L35" s="3">
        <f t="shared" ca="1" si="4"/>
        <v>1.3948421302174557E-2</v>
      </c>
    </row>
    <row r="36" spans="2:12" x14ac:dyDescent="0.2">
      <c r="B36" vm="107">
        <f ca="1"/>
        <v>45047</v>
      </c>
      <c r="C36" vm="108">
        <f ca="1"/>
        <v>15.49</v>
      </c>
      <c r="D36" vm="109">
        <f ca="1"/>
        <v>417.85</v>
      </c>
      <c r="E36" vm="110">
        <f ca="1"/>
        <v>97.8125</v>
      </c>
      <c r="G36" s="3">
        <f t="shared" ca="1" si="0"/>
        <v>-9.4152046783625792E-2</v>
      </c>
      <c r="H36" s="3">
        <f t="shared" ca="1" si="1"/>
        <v>4.6161613733080465E-3</v>
      </c>
      <c r="I36" s="3">
        <f t="shared" ca="1" si="2"/>
        <v>-2.5984371934806988E-2</v>
      </c>
      <c r="K36" s="3">
        <f t="shared" ca="1" si="3"/>
        <v>-6.8167674848818804E-2</v>
      </c>
      <c r="L36" s="3">
        <f t="shared" ca="1" si="4"/>
        <v>3.0600533308115033E-2</v>
      </c>
    </row>
    <row r="37" spans="2:12" x14ac:dyDescent="0.2">
      <c r="B37" vm="111">
        <f ca="1"/>
        <v>45078</v>
      </c>
      <c r="C37" vm="112">
        <f ca="1"/>
        <v>16.239999999999998</v>
      </c>
      <c r="D37" vm="113">
        <f ca="1"/>
        <v>443.28</v>
      </c>
      <c r="E37" vm="114">
        <f ca="1"/>
        <v>96.203100000000006</v>
      </c>
      <c r="G37" s="3">
        <f t="shared" ca="1" si="0"/>
        <v>4.8418334409296201E-2</v>
      </c>
      <c r="H37" s="3">
        <f t="shared" ca="1" si="1"/>
        <v>6.0859159985640655E-2</v>
      </c>
      <c r="I37" s="3">
        <f t="shared" ca="1" si="2"/>
        <v>-1.645392971246E-2</v>
      </c>
      <c r="K37" s="3">
        <f t="shared" ca="1" si="3"/>
        <v>6.4872264121756201E-2</v>
      </c>
      <c r="L37" s="3">
        <f t="shared" ca="1" si="4"/>
        <v>7.7313089698100662E-2</v>
      </c>
    </row>
    <row r="38" spans="2:12" x14ac:dyDescent="0.2">
      <c r="B38" vm="115">
        <f ca="1"/>
        <v>45108</v>
      </c>
      <c r="C38" vm="116">
        <f ca="1"/>
        <v>16.899999999999999</v>
      </c>
      <c r="D38" vm="117">
        <f ca="1"/>
        <v>457.79</v>
      </c>
      <c r="E38" vm="118">
        <f ca="1"/>
        <v>95.25</v>
      </c>
      <c r="G38" s="3">
        <f t="shared" ca="1" si="0"/>
        <v>4.0640394088669964E-2</v>
      </c>
      <c r="H38" s="3">
        <f t="shared" ca="1" si="1"/>
        <v>3.273326114419791E-2</v>
      </c>
      <c r="I38" s="3">
        <f t="shared" ca="1" si="2"/>
        <v>-9.9071651537217219E-3</v>
      </c>
      <c r="K38" s="3">
        <f t="shared" ca="1" si="3"/>
        <v>5.0547559242391682E-2</v>
      </c>
      <c r="L38" s="3">
        <f t="shared" ca="1" si="4"/>
        <v>4.2640426297919629E-2</v>
      </c>
    </row>
    <row r="39" spans="2:12" x14ac:dyDescent="0.2">
      <c r="B39" vm="119">
        <f ca="1"/>
        <v>45139</v>
      </c>
      <c r="C39" vm="120">
        <f ca="1"/>
        <v>16.53</v>
      </c>
      <c r="D39" vm="121">
        <f ca="1"/>
        <v>450.35</v>
      </c>
      <c r="E39" vm="122">
        <f ca="1"/>
        <v>98.0625</v>
      </c>
      <c r="G39" s="3">
        <f t="shared" ca="1" si="0"/>
        <v>-2.1893491124260204E-2</v>
      </c>
      <c r="H39" s="3">
        <f t="shared" ca="1" si="1"/>
        <v>-1.6251993272024284E-2</v>
      </c>
      <c r="I39" s="3">
        <f t="shared" ca="1" si="2"/>
        <v>2.952755905511811E-2</v>
      </c>
      <c r="K39" s="3">
        <f t="shared" ca="1" si="3"/>
        <v>-5.1421050179378314E-2</v>
      </c>
      <c r="L39" s="3">
        <f t="shared" ca="1" si="4"/>
        <v>-4.5779552327142398E-2</v>
      </c>
    </row>
    <row r="40" spans="2:12" x14ac:dyDescent="0.2">
      <c r="B40" vm="123">
        <f ca="1"/>
        <v>45170</v>
      </c>
      <c r="C40" vm="124">
        <f ca="1"/>
        <v>14.57</v>
      </c>
      <c r="D40" vm="125">
        <f ca="1"/>
        <v>427.48</v>
      </c>
      <c r="E40" vm="126">
        <f ca="1"/>
        <v>94.453100000000006</v>
      </c>
      <c r="G40" s="3">
        <f t="shared" ca="1" si="0"/>
        <v>-0.11857229280096798</v>
      </c>
      <c r="H40" s="3">
        <f t="shared" ca="1" si="1"/>
        <v>-5.0782724547574119E-2</v>
      </c>
      <c r="I40" s="3">
        <f t="shared" ca="1" si="2"/>
        <v>-3.6807138304652584E-2</v>
      </c>
      <c r="K40" s="3">
        <f t="shared" ca="1" si="3"/>
        <v>-8.1765154496315398E-2</v>
      </c>
      <c r="L40" s="3">
        <f t="shared" ca="1" si="4"/>
        <v>-1.3975586242921535E-2</v>
      </c>
    </row>
    <row r="41" spans="2:12" x14ac:dyDescent="0.2">
      <c r="B41" vm="127">
        <f ca="1"/>
        <v>45200</v>
      </c>
      <c r="C41" vm="128">
        <f ca="1"/>
        <v>14.51</v>
      </c>
      <c r="D41" vm="129">
        <f ca="1"/>
        <v>418.2</v>
      </c>
      <c r="E41" vm="130">
        <f ca="1"/>
        <v>91.890600000000006</v>
      </c>
      <c r="G41" s="3">
        <f t="shared" ca="1" si="0"/>
        <v>-4.1180507892931021E-3</v>
      </c>
      <c r="H41" s="3">
        <f t="shared" ca="1" si="1"/>
        <v>-2.1708617947038527E-2</v>
      </c>
      <c r="I41" s="3">
        <f t="shared" ca="1" si="2"/>
        <v>-2.7129866568699174E-2</v>
      </c>
      <c r="K41" s="3">
        <f t="shared" ca="1" si="3"/>
        <v>2.3011815779406072E-2</v>
      </c>
      <c r="L41" s="3">
        <f t="shared" ca="1" si="4"/>
        <v>5.4212486216606466E-3</v>
      </c>
    </row>
    <row r="42" spans="2:12" x14ac:dyDescent="0.2">
      <c r="B42" vm="131">
        <f ca="1"/>
        <v>45231</v>
      </c>
      <c r="C42" vm="132">
        <f ca="1"/>
        <v>15.33</v>
      </c>
      <c r="D42" vm="133">
        <f ca="1"/>
        <v>456.4</v>
      </c>
      <c r="E42" vm="134">
        <f ca="1"/>
        <v>102.01560000000001</v>
      </c>
      <c r="G42" s="3">
        <f t="shared" ca="1" si="0"/>
        <v>5.6512749827705051E-2</v>
      </c>
      <c r="H42" s="3">
        <f t="shared" ca="1" si="1"/>
        <v>9.134385461501672E-2</v>
      </c>
      <c r="I42" s="3">
        <f t="shared" ca="1" si="2"/>
        <v>0.11018537260612075</v>
      </c>
      <c r="K42" s="3">
        <f t="shared" ca="1" si="3"/>
        <v>-5.3672622778415703E-2</v>
      </c>
      <c r="L42" s="3">
        <f t="shared" ca="1" si="4"/>
        <v>-1.8841517991104034E-2</v>
      </c>
    </row>
    <row r="43" spans="2:12" x14ac:dyDescent="0.2">
      <c r="B43" vm="135">
        <f ca="1"/>
        <v>45261</v>
      </c>
      <c r="C43" vm="136">
        <f ca="1"/>
        <v>15.3</v>
      </c>
      <c r="D43" vm="137">
        <f ca="1"/>
        <v>475.31</v>
      </c>
      <c r="E43" vm="138">
        <f ca="1"/>
        <v>105.1563</v>
      </c>
      <c r="G43" s="3">
        <f t="shared" ca="1" si="0"/>
        <v>-1.9569471624265727E-3</v>
      </c>
      <c r="H43" s="3">
        <f t="shared" ca="1" si="1"/>
        <v>4.1432953549518023E-2</v>
      </c>
      <c r="I43" s="3">
        <f t="shared" ca="1" si="2"/>
        <v>3.0786467951960241E-2</v>
      </c>
      <c r="K43" s="3">
        <f t="shared" ca="1" si="3"/>
        <v>-3.2743415114386817E-2</v>
      </c>
      <c r="L43" s="3">
        <f t="shared" ca="1" si="4"/>
        <v>1.0646485597557782E-2</v>
      </c>
    </row>
    <row r="44" spans="2:12" x14ac:dyDescent="0.2">
      <c r="B44" vm="139">
        <f ca="1"/>
        <v>45292</v>
      </c>
      <c r="C44" vm="140">
        <f ca="1"/>
        <v>15.59</v>
      </c>
      <c r="D44" vm="141">
        <f ca="1"/>
        <v>482.88</v>
      </c>
      <c r="E44" vm="142">
        <f ca="1"/>
        <v>103.6875</v>
      </c>
      <c r="G44" s="3">
        <f t="shared" ca="1" si="0"/>
        <v>1.8954248366013015E-2</v>
      </c>
      <c r="H44" s="3">
        <f t="shared" ca="1" si="1"/>
        <v>1.5926448002356344E-2</v>
      </c>
      <c r="I44" s="3">
        <f t="shared" ca="1" si="2"/>
        <v>-1.3967779391249041E-2</v>
      </c>
      <c r="K44" s="3">
        <f t="shared" ca="1" si="3"/>
        <v>3.2922027757262058E-2</v>
      </c>
      <c r="L44" s="3">
        <f t="shared" ca="1" si="4"/>
        <v>2.9894227393605387E-2</v>
      </c>
    </row>
    <row r="45" spans="2:12" x14ac:dyDescent="0.2">
      <c r="B45" vm="143">
        <f ca="1"/>
        <v>45323</v>
      </c>
      <c r="C45" vm="144">
        <f ca="1"/>
        <v>14.01</v>
      </c>
      <c r="D45" vm="145">
        <f ca="1"/>
        <v>508.08</v>
      </c>
      <c r="E45" vm="146">
        <f ca="1"/>
        <v>97.875</v>
      </c>
      <c r="G45" s="3">
        <f t="shared" ca="1" si="0"/>
        <v>-0.1013470173187941</v>
      </c>
      <c r="H45" s="3">
        <f t="shared" ca="1" si="1"/>
        <v>5.2186878727634174E-2</v>
      </c>
      <c r="I45" s="3">
        <f t="shared" ca="1" si="2"/>
        <v>-5.6057866184448461E-2</v>
      </c>
      <c r="K45" s="3">
        <f t="shared" ca="1" si="3"/>
        <v>-4.5289151134345638E-2</v>
      </c>
      <c r="L45" s="3">
        <f t="shared" ca="1" si="4"/>
        <v>0.10824474491208264</v>
      </c>
    </row>
    <row r="46" spans="2:12" x14ac:dyDescent="0.2">
      <c r="B46" vm="147">
        <f ca="1"/>
        <v>45352</v>
      </c>
      <c r="C46" vm="148">
        <f ca="1"/>
        <v>14.94</v>
      </c>
      <c r="D46" vm="149">
        <f ca="1"/>
        <v>523.07000000000005</v>
      </c>
      <c r="E46" vm="150">
        <f ca="1"/>
        <v>98.468800000000002</v>
      </c>
      <c r="G46" s="3">
        <f t="shared" ca="1" si="0"/>
        <v>6.6381156316916462E-2</v>
      </c>
      <c r="H46" s="3">
        <f t="shared" ca="1" si="1"/>
        <v>2.9503227838135856E-2</v>
      </c>
      <c r="I46" s="3">
        <f t="shared" ca="1" si="2"/>
        <v>6.0669220945083185E-3</v>
      </c>
      <c r="K46" s="3">
        <f t="shared" ca="1" si="3"/>
        <v>6.0314234222408142E-2</v>
      </c>
      <c r="L46" s="3">
        <f t="shared" ca="1" si="4"/>
        <v>2.3436305743627539E-2</v>
      </c>
    </row>
    <row r="47" spans="2:12" x14ac:dyDescent="0.2">
      <c r="B47" vm="151">
        <f ca="1"/>
        <v>45383</v>
      </c>
      <c r="C47" vm="152">
        <f ca="1"/>
        <v>13.64</v>
      </c>
      <c r="D47" vm="153">
        <f ca="1"/>
        <v>501.98</v>
      </c>
      <c r="E47" vm="154">
        <f ca="1"/>
        <v>94.6875</v>
      </c>
      <c r="G47" s="3">
        <f t="shared" ca="1" si="0"/>
        <v>-8.7014725568942367E-2</v>
      </c>
      <c r="H47" s="3">
        <f t="shared" ca="1" si="1"/>
        <v>-4.031965128950242E-2</v>
      </c>
      <c r="I47" s="3">
        <f t="shared" ca="1" si="2"/>
        <v>-3.8400996051541215E-2</v>
      </c>
      <c r="K47" s="3">
        <f t="shared" ca="1" si="3"/>
        <v>-4.8613729517401151E-2</v>
      </c>
      <c r="L47" s="3">
        <f t="shared" ca="1" si="4"/>
        <v>-1.9186552379612046E-3</v>
      </c>
    </row>
    <row r="48" spans="2:12" x14ac:dyDescent="0.2">
      <c r="B48" vm="155">
        <f ca="1"/>
        <v>45413</v>
      </c>
      <c r="C48" vm="156">
        <f ca="1"/>
        <v>14.91</v>
      </c>
      <c r="D48" vm="157">
        <f ca="1"/>
        <v>527.37</v>
      </c>
      <c r="E48" vm="158">
        <f ca="1"/>
        <v>98.984399999999994</v>
      </c>
      <c r="G48" s="3">
        <f t="shared" ca="1" si="0"/>
        <v>9.3108504398826938E-2</v>
      </c>
      <c r="H48" s="3">
        <f t="shared" ca="1" si="1"/>
        <v>5.0579704370692029E-2</v>
      </c>
      <c r="I48" s="3">
        <f t="shared" ca="1" si="2"/>
        <v>4.5379801980197955E-2</v>
      </c>
      <c r="K48" s="3">
        <f t="shared" ca="1" si="3"/>
        <v>4.7728702418628983E-2</v>
      </c>
      <c r="L48" s="3">
        <f t="shared" ca="1" si="4"/>
        <v>5.1999023904940739E-3</v>
      </c>
    </row>
    <row r="49" spans="2:12" x14ac:dyDescent="0.2">
      <c r="B49" vm="159">
        <f ca="1"/>
        <v>45444</v>
      </c>
      <c r="C49" vm="160">
        <f ca="1"/>
        <v>13.94</v>
      </c>
      <c r="D49" vm="161">
        <f ca="1"/>
        <v>544.22</v>
      </c>
      <c r="E49" vm="162">
        <f ca="1"/>
        <v>99.671899999999994</v>
      </c>
      <c r="G49" s="3">
        <f t="shared" ca="1" si="0"/>
        <v>-6.5057008718980597E-2</v>
      </c>
      <c r="H49" s="3">
        <f t="shared" ca="1" si="1"/>
        <v>3.1951002142708199E-2</v>
      </c>
      <c r="I49" s="3">
        <f t="shared" ca="1" si="2"/>
        <v>6.9455388929972805E-3</v>
      </c>
      <c r="K49" s="3">
        <f t="shared" ca="1" si="3"/>
        <v>-7.2002547611977871E-2</v>
      </c>
      <c r="L49" s="3">
        <f t="shared" ca="1" si="4"/>
        <v>2.5005463249710917E-2</v>
      </c>
    </row>
    <row r="50" spans="2:12" x14ac:dyDescent="0.2">
      <c r="B50" vm="163">
        <f ca="1"/>
        <v>45474</v>
      </c>
      <c r="C50" vm="164">
        <f ca="1"/>
        <v>15.93</v>
      </c>
      <c r="D50" vm="165">
        <f ca="1"/>
        <v>550.80999999999995</v>
      </c>
      <c r="E50" vm="166">
        <f ca="1"/>
        <v>102.5313</v>
      </c>
      <c r="G50" s="3">
        <f t="shared" ca="1" si="0"/>
        <v>0.14275466284074609</v>
      </c>
      <c r="H50" s="3">
        <f t="shared" ca="1" si="1"/>
        <v>1.210907353643732E-2</v>
      </c>
      <c r="I50" s="3">
        <f t="shared" ca="1" si="2"/>
        <v>2.8688125740554841E-2</v>
      </c>
      <c r="K50" s="3">
        <f t="shared" ca="1" si="3"/>
        <v>0.11406653710019124</v>
      </c>
      <c r="L50" s="3">
        <f t="shared" ca="1" si="4"/>
        <v>-1.6579052204117522E-2</v>
      </c>
    </row>
    <row r="51" spans="2:12" x14ac:dyDescent="0.2">
      <c r="B51" vm="167">
        <f ca="1"/>
        <v>45505</v>
      </c>
      <c r="C51" vm="168">
        <f ca="1"/>
        <v>13.88</v>
      </c>
      <c r="D51" vm="169">
        <f ca="1"/>
        <v>563.67999999999995</v>
      </c>
      <c r="E51" vm="170">
        <f ca="1"/>
        <v>99.718800000000002</v>
      </c>
      <c r="G51" s="3">
        <f t="shared" ca="1" si="0"/>
        <v>-0.12868801004394217</v>
      </c>
      <c r="H51" s="3">
        <f t="shared" ca="1" si="1"/>
        <v>2.3365588860042495E-2</v>
      </c>
      <c r="I51" s="3">
        <f t="shared" ca="1" si="2"/>
        <v>-2.7430648006998837E-2</v>
      </c>
      <c r="K51" s="3">
        <f t="shared" ca="1" si="3"/>
        <v>-0.10125736203694334</v>
      </c>
      <c r="L51" s="3">
        <f t="shared" ca="1" si="4"/>
        <v>5.0796236867041336E-2</v>
      </c>
    </row>
    <row r="52" spans="2:12" x14ac:dyDescent="0.2">
      <c r="B52" vm="171">
        <f ca="1"/>
        <v>45536</v>
      </c>
      <c r="C52" vm="172">
        <f ca="1"/>
        <v>15.78</v>
      </c>
      <c r="D52" vm="173">
        <f ca="1"/>
        <v>573.76</v>
      </c>
      <c r="E52" vm="174">
        <f ca="1"/>
        <v>100.79689999999999</v>
      </c>
      <c r="G52" s="3">
        <f t="shared" ca="1" si="0"/>
        <v>0.13688760806916417</v>
      </c>
      <c r="H52" s="3">
        <f t="shared" ca="1" si="1"/>
        <v>1.7882486517172939E-2</v>
      </c>
      <c r="I52" s="3">
        <f t="shared" ca="1" si="2"/>
        <v>1.081140166147198E-2</v>
      </c>
      <c r="K52" s="3">
        <f t="shared" ca="1" si="3"/>
        <v>0.12607620640769218</v>
      </c>
      <c r="L52" s="3">
        <f t="shared" ca="1" si="4"/>
        <v>7.0710848557009598E-3</v>
      </c>
    </row>
    <row r="53" spans="2:12" x14ac:dyDescent="0.2">
      <c r="B53" vm="175">
        <f ca="1"/>
        <v>45566</v>
      </c>
      <c r="C53" vm="176">
        <f ca="1"/>
        <v>16.43</v>
      </c>
      <c r="D53" vm="177">
        <f ca="1"/>
        <v>568.64</v>
      </c>
      <c r="E53" vm="178">
        <f ca="1"/>
        <v>96.718800000000002</v>
      </c>
      <c r="G53" s="3">
        <f t="shared" ca="1" si="0"/>
        <v>4.1191381495564026E-2</v>
      </c>
      <c r="H53" s="3">
        <f t="shared" ca="1" si="1"/>
        <v>-8.9235917456776427E-3</v>
      </c>
      <c r="I53" s="3">
        <f t="shared" ca="1" si="2"/>
        <v>-4.0458585531896241E-2</v>
      </c>
      <c r="K53" s="3">
        <f t="shared" ca="1" si="3"/>
        <v>8.1649967027460274E-2</v>
      </c>
      <c r="L53" s="3">
        <f t="shared" ca="1" si="4"/>
        <v>3.1534993786218601E-2</v>
      </c>
    </row>
    <row r="54" spans="2:12" x14ac:dyDescent="0.2">
      <c r="B54" vm="179">
        <f ca="1"/>
        <v>45597</v>
      </c>
      <c r="C54" vm="180">
        <f ca="1"/>
        <v>18.77</v>
      </c>
      <c r="D54" vm="181">
        <f ca="1"/>
        <v>602.54999999999995</v>
      </c>
      <c r="E54" vm="182">
        <f ca="1"/>
        <v>100.57810000000001</v>
      </c>
      <c r="G54" s="3">
        <f t="shared" ca="1" si="0"/>
        <v>0.14242239805234327</v>
      </c>
      <c r="H54" s="3">
        <f t="shared" ca="1" si="1"/>
        <v>5.9633511536297076E-2</v>
      </c>
      <c r="I54" s="3">
        <f t="shared" ca="1" si="2"/>
        <v>3.990227339462446E-2</v>
      </c>
      <c r="K54" s="3">
        <f t="shared" ca="1" si="3"/>
        <v>0.10252012465771881</v>
      </c>
      <c r="L54" s="3">
        <f t="shared" ca="1" si="4"/>
        <v>1.9731238141672616E-2</v>
      </c>
    </row>
    <row r="55" spans="2:12" x14ac:dyDescent="0.2">
      <c r="B55" vm="183">
        <f ca="1"/>
        <v>45627</v>
      </c>
      <c r="C55" vm="184">
        <f ca="1"/>
        <v>18.29</v>
      </c>
      <c r="D55" vm="185">
        <f ca="1"/>
        <v>586.08000000000004</v>
      </c>
      <c r="E55" vm="186">
        <f ca="1"/>
        <v>97.453100000000006</v>
      </c>
      <c r="G55" s="3">
        <f t="shared" ca="1" si="0"/>
        <v>-2.5572722429408654E-2</v>
      </c>
      <c r="H55" s="3">
        <f t="shared" ca="1" si="1"/>
        <v>-2.7333831217326222E-2</v>
      </c>
      <c r="I55" s="3">
        <f t="shared" ca="1" si="2"/>
        <v>-3.1070382120958737E-2</v>
      </c>
      <c r="K55" s="3">
        <f t="shared" ca="1" si="3"/>
        <v>5.497659691550083E-3</v>
      </c>
      <c r="L55" s="3">
        <f t="shared" ca="1" si="4"/>
        <v>3.7365509036325142E-3</v>
      </c>
    </row>
    <row r="56" spans="2:12" x14ac:dyDescent="0.2">
      <c r="B56" vm="187">
        <f ca="1"/>
        <v>45658</v>
      </c>
      <c r="C56" vm="188">
        <f ca="1"/>
        <v>18.22</v>
      </c>
      <c r="D56" vm="189">
        <f ca="1"/>
        <v>601.82000000000005</v>
      </c>
      <c r="E56" vm="30">
        <f ca="1"/>
        <v>97.703100000000006</v>
      </c>
      <c r="G56" s="3">
        <f t="shared" ca="1" si="0"/>
        <v>-3.8272279934390536E-3</v>
      </c>
      <c r="H56" s="3">
        <f t="shared" ca="1" si="1"/>
        <v>2.6856401856401872E-2</v>
      </c>
      <c r="I56" s="3">
        <f t="shared" ca="1" si="2"/>
        <v>2.5653365567642281E-3</v>
      </c>
      <c r="K56" s="3">
        <f t="shared" ca="1" si="3"/>
        <v>-6.3925645502032821E-3</v>
      </c>
      <c r="L56" s="3">
        <f t="shared" ca="1" si="4"/>
        <v>2.4291065299637642E-2</v>
      </c>
    </row>
    <row r="57" spans="2:12" x14ac:dyDescent="0.2">
      <c r="B57" vm="190">
        <f ca="1"/>
        <v>45689</v>
      </c>
      <c r="C57" vm="191">
        <f ca="1"/>
        <v>18.2</v>
      </c>
      <c r="D57" vm="192">
        <f ca="1"/>
        <v>594.17999999999995</v>
      </c>
      <c r="E57" vm="193">
        <f ca="1"/>
        <v>103.4063</v>
      </c>
      <c r="G57" s="3">
        <f t="shared" ca="1" si="0"/>
        <v>-1.0976948408342247E-3</v>
      </c>
      <c r="H57" s="3">
        <f t="shared" ca="1" si="1"/>
        <v>-1.2694825695390814E-2</v>
      </c>
      <c r="I57" s="3">
        <f t="shared" ca="1" si="2"/>
        <v>5.8372764016699524E-2</v>
      </c>
      <c r="K57" s="3">
        <f t="shared" ca="1" si="3"/>
        <v>-5.9470458857533749E-2</v>
      </c>
      <c r="L57" s="3">
        <f t="shared" ca="1" si="4"/>
        <v>-7.1067589712090345E-2</v>
      </c>
    </row>
    <row r="58" spans="2:12" x14ac:dyDescent="0.2">
      <c r="B58" vm="194">
        <f ca="1"/>
        <v>45717</v>
      </c>
      <c r="C58" vm="188">
        <f ca="1"/>
        <v>18.22</v>
      </c>
      <c r="D58" vm="195">
        <f ca="1"/>
        <v>559.39</v>
      </c>
      <c r="E58" vm="196">
        <f ca="1"/>
        <v>103.32810000000001</v>
      </c>
      <c r="G58" s="3">
        <f t="shared" ca="1" si="0"/>
        <v>1.0989010989010755E-3</v>
      </c>
      <c r="H58" s="3">
        <f t="shared" ca="1" si="1"/>
        <v>-5.8551280756673006E-2</v>
      </c>
      <c r="I58" s="3">
        <f t="shared" ca="1" si="2"/>
        <v>-7.5624019039454446E-4</v>
      </c>
      <c r="K58" s="3">
        <f t="shared" ca="1" si="3"/>
        <v>1.8551412892956198E-3</v>
      </c>
      <c r="L58" s="3">
        <f t="shared" ca="1" si="4"/>
        <v>-5.7795040566278461E-2</v>
      </c>
    </row>
    <row r="59" spans="2:12" x14ac:dyDescent="0.2">
      <c r="B59" vm="197">
        <f ca="1"/>
        <v>45748</v>
      </c>
      <c r="C59" vm="198">
        <f ca="1"/>
        <v>16.23</v>
      </c>
      <c r="D59" vm="199">
        <f ca="1"/>
        <v>554.54</v>
      </c>
      <c r="E59" vm="200">
        <f ca="1"/>
        <v>103.5313</v>
      </c>
      <c r="G59" s="3">
        <f t="shared" ca="1" si="0"/>
        <v>-0.1092206366630076</v>
      </c>
      <c r="H59" s="3">
        <f t="shared" ca="1" si="1"/>
        <v>-8.6701585655804044E-3</v>
      </c>
      <c r="I59" s="3">
        <f t="shared" ca="1" si="2"/>
        <v>1.9665512092063571E-3</v>
      </c>
      <c r="K59" s="3">
        <f t="shared" ca="1" si="3"/>
        <v>-0.11118718787221396</v>
      </c>
      <c r="L59" s="3">
        <f t="shared" ca="1" si="4"/>
        <v>-1.0636709774786762E-2</v>
      </c>
    </row>
    <row r="60" spans="2:12" x14ac:dyDescent="0.2">
      <c r="B60" vm="201">
        <f ca="1"/>
        <v>45778</v>
      </c>
      <c r="C60" vm="202">
        <f ca="1"/>
        <v>16.72</v>
      </c>
      <c r="D60" vm="203">
        <f ca="1"/>
        <v>589.39</v>
      </c>
      <c r="E60" vm="204">
        <f ca="1"/>
        <v>98.8125</v>
      </c>
      <c r="G60" s="3">
        <f t="shared" ca="1" si="0"/>
        <v>3.0191004313000518E-2</v>
      </c>
      <c r="H60" s="3">
        <f t="shared" ca="1" si="1"/>
        <v>6.284488044144701E-2</v>
      </c>
      <c r="I60" s="3">
        <f t="shared" ca="1" si="2"/>
        <v>-4.5578486892369763E-2</v>
      </c>
      <c r="K60" s="3">
        <f t="shared" ca="1" si="3"/>
        <v>7.5769491205370285E-2</v>
      </c>
      <c r="L60" s="3">
        <f t="shared" ca="1" si="4"/>
        <v>0.10842336733381677</v>
      </c>
    </row>
    <row r="61" spans="2:12" x14ac:dyDescent="0.2">
      <c r="B61" vm="205">
        <f ca="1"/>
        <v>45809</v>
      </c>
      <c r="C61" vm="206">
        <f ca="1"/>
        <v>16.760000000000002</v>
      </c>
      <c r="D61" vm="207">
        <f ca="1"/>
        <v>617.85</v>
      </c>
      <c r="E61" vm="15">
        <f ca="1"/>
        <v>100.14060000000001</v>
      </c>
      <c r="G61" s="3">
        <f t="shared" ca="1" si="0"/>
        <v>2.3923444976078172E-3</v>
      </c>
      <c r="H61" s="3">
        <f t="shared" ca="1" si="1"/>
        <v>4.828721220244666E-2</v>
      </c>
      <c r="I61" s="3">
        <f t="shared" ca="1" si="2"/>
        <v>1.3440607210626249E-2</v>
      </c>
      <c r="K61" s="3">
        <f t="shared" ca="1" si="3"/>
        <v>-1.1048262713018432E-2</v>
      </c>
      <c r="L61" s="3">
        <f t="shared" ca="1" si="4"/>
        <v>3.4846604991820407E-2</v>
      </c>
    </row>
    <row r="62" spans="2:12" x14ac:dyDescent="0.2">
      <c r="B62" vm="208">
        <f ca="1"/>
        <v>45839</v>
      </c>
      <c r="C62" vm="209">
        <f ca="1"/>
        <v>16.7</v>
      </c>
      <c r="D62" vm="210">
        <f ca="1"/>
        <v>632.08000000000004</v>
      </c>
      <c r="E62" vm="211">
        <f ca="1"/>
        <v>98.953100000000006</v>
      </c>
      <c r="G62" s="3">
        <f t="shared" ca="1" si="0"/>
        <v>-3.5799522673032381E-3</v>
      </c>
      <c r="H62" s="3">
        <f t="shared" ca="1" si="1"/>
        <v>2.3031480132718326E-2</v>
      </c>
      <c r="I62" s="3">
        <f t="shared" ca="1" si="2"/>
        <v>-1.1858327191968093E-2</v>
      </c>
      <c r="K62" s="3">
        <f t="shared" ca="1" si="3"/>
        <v>8.2783749246648549E-3</v>
      </c>
      <c r="L62" s="3">
        <f t="shared" ca="1" si="4"/>
        <v>3.4889807324686418E-2</v>
      </c>
    </row>
    <row r="63" spans="2:12" x14ac:dyDescent="0.2">
      <c r="B63" vm="212">
        <f ca="1"/>
        <v>45870</v>
      </c>
      <c r="C63" vm="213">
        <f ca="1"/>
        <v>21.2</v>
      </c>
      <c r="D63" vm="214">
        <f ca="1"/>
        <v>645.04999999999995</v>
      </c>
      <c r="E63" vm="15">
        <f ca="1"/>
        <v>100.14060000000001</v>
      </c>
      <c r="G63" s="3">
        <f t="shared" ca="1" si="0"/>
        <v>0.26946107784431139</v>
      </c>
      <c r="H63" s="3">
        <f t="shared" ca="1" si="1"/>
        <v>2.051955448677369E-2</v>
      </c>
      <c r="I63" s="3">
        <f t="shared" ca="1" si="2"/>
        <v>1.2000634644088966E-2</v>
      </c>
      <c r="K63" s="3">
        <f t="shared" ca="1" si="3"/>
        <v>0.25746044320022243</v>
      </c>
      <c r="L63" s="3">
        <f t="shared" ca="1" si="4"/>
        <v>8.5189198426847239E-3</v>
      </c>
    </row>
    <row r="64" spans="2:12" x14ac:dyDescent="0.2">
      <c r="B64" vm="215">
        <f ca="1"/>
        <v>45901</v>
      </c>
      <c r="C64" vm="216">
        <f ca="1"/>
        <v>20.329999999999998</v>
      </c>
      <c r="D64" vm="217">
        <f ca="1"/>
        <v>666.18</v>
      </c>
      <c r="E64" vm="218">
        <f ca="1"/>
        <v>100.75</v>
      </c>
      <c r="G64" s="3">
        <f t="shared" ca="1" si="0"/>
        <v>-4.103773584905665E-2</v>
      </c>
      <c r="H64" s="3">
        <f t="shared" ca="1" si="1"/>
        <v>3.275715060847996E-2</v>
      </c>
      <c r="I64" s="3">
        <f t="shared" ca="1" si="2"/>
        <v>6.085443865924447E-3</v>
      </c>
      <c r="K64" s="3">
        <f t="shared" ca="1" si="3"/>
        <v>-4.7123179714981096E-2</v>
      </c>
      <c r="L64" s="3">
        <f t="shared" ca="1" si="4"/>
        <v>2.6671706742555513E-2</v>
      </c>
    </row>
    <row r="65" spans="2:12" x14ac:dyDescent="0.2">
      <c r="B65" vm="219">
        <f ca="1"/>
        <v>45931</v>
      </c>
      <c r="C65" vm="220">
        <f ca="1"/>
        <v>19.670000000000002</v>
      </c>
      <c r="D65" vm="221">
        <f ca="1"/>
        <v>682.06</v>
      </c>
      <c r="E65" vm="222">
        <f ca="1"/>
        <v>101.32810000000001</v>
      </c>
      <c r="G65" s="3">
        <f t="shared" ca="1" si="0"/>
        <v>-3.246433841613363E-2</v>
      </c>
      <c r="H65" s="3">
        <f t="shared" ca="1" si="1"/>
        <v>2.3837401302951148E-2</v>
      </c>
      <c r="I65" s="3">
        <f t="shared" ca="1" si="2"/>
        <v>5.7379652605459679E-3</v>
      </c>
      <c r="K65" s="3">
        <f t="shared" ca="1" si="3"/>
        <v>-3.8202303676679594E-2</v>
      </c>
      <c r="L65" s="3">
        <f t="shared" ca="1" si="4"/>
        <v>1.809943604240518E-2</v>
      </c>
    </row>
    <row r="66" spans="2:12" x14ac:dyDescent="0.2">
      <c r="B66" vm="223">
        <f ca="1"/>
        <v>45962</v>
      </c>
      <c r="C66" vm="224">
        <f ca="1"/>
        <v>19.52</v>
      </c>
      <c r="D66" vm="225">
        <f ca="1"/>
        <v>683.39</v>
      </c>
      <c r="E66" vm="226">
        <f ca="1"/>
        <v>99.859399999999994</v>
      </c>
      <c r="G66" s="3">
        <f t="shared" ca="1" si="0"/>
        <v>-7.6258261311643169E-3</v>
      </c>
      <c r="H66" s="3">
        <f t="shared" ca="1" si="1"/>
        <v>1.9499750755066138E-3</v>
      </c>
      <c r="I66" s="3">
        <f t="shared" ca="1" si="2"/>
        <v>-1.4494498564564149E-2</v>
      </c>
      <c r="K66" s="3">
        <f t="shared" ca="1" si="3"/>
        <v>6.8686724333998318E-3</v>
      </c>
      <c r="L66" s="3">
        <f t="shared" ca="1" si="4"/>
        <v>1.6444473640070761E-2</v>
      </c>
    </row>
    <row r="67" spans="2:12" x14ac:dyDescent="0.2">
      <c r="B67" vm="227">
        <f ca="1"/>
        <v>45992</v>
      </c>
      <c r="C67" vm="228">
        <f ca="1"/>
        <v>19.41</v>
      </c>
      <c r="D67" vm="229">
        <f ca="1"/>
        <v>681.92</v>
      </c>
      <c r="E67" vm="230">
        <f ca="1"/>
        <v>98.6875</v>
      </c>
      <c r="G67" s="3">
        <f t="shared" ca="1" si="0"/>
        <v>-5.635245901639315E-3</v>
      </c>
      <c r="H67" s="3">
        <f t="shared" ca="1" si="1"/>
        <v>-2.151041133174362E-3</v>
      </c>
      <c r="I67" s="3">
        <f t="shared" ca="1" si="2"/>
        <v>-1.1735500113159039E-2</v>
      </c>
      <c r="K67" s="3">
        <f t="shared" ca="1" si="3"/>
        <v>6.1002542115197239E-3</v>
      </c>
      <c r="L67" s="3">
        <f t="shared" ca="1" si="4"/>
        <v>9.5844589799846773E-3</v>
      </c>
    </row>
    <row r="68" spans="2:12" x14ac:dyDescent="0.2">
      <c r="B68" vm="231">
        <f ca="1"/>
        <v>46023</v>
      </c>
      <c r="C68" vm="232">
        <f ca="1"/>
        <v>19.16</v>
      </c>
      <c r="D68" vm="233">
        <f ca="1"/>
        <v>691.97</v>
      </c>
      <c r="E68" vm="234">
        <f ca="1"/>
        <v>98.078100000000006</v>
      </c>
      <c r="G68" s="3">
        <f t="shared" ca="1" si="0"/>
        <v>-1.287995878413189E-2</v>
      </c>
      <c r="H68" s="3">
        <f t="shared" ca="1" si="1"/>
        <v>1.4737799155326239E-2</v>
      </c>
      <c r="I68" s="3">
        <f t="shared" ca="1" si="2"/>
        <v>-6.1750474984166555E-3</v>
      </c>
      <c r="K68" s="3">
        <f t="shared" ca="1" si="3"/>
        <v>-6.7049112857152345E-3</v>
      </c>
      <c r="L68" s="3">
        <f t="shared" ca="1" si="4"/>
        <v>2.0912846653742895E-2</v>
      </c>
    </row>
    <row r="69" spans="2:12" x14ac:dyDescent="0.2">
      <c r="B69" vm="235">
        <f ca="1"/>
        <v>46054</v>
      </c>
      <c r="C69" vm="236">
        <f ca="1"/>
        <v>20.95</v>
      </c>
      <c r="D69" vm="237">
        <f ca="1"/>
        <v>685.99</v>
      </c>
      <c r="E69" vm="238">
        <f ca="1"/>
        <v>101.4375</v>
      </c>
      <c r="G69" s="3">
        <f t="shared" ca="1" si="0"/>
        <v>9.3423799582463427E-2</v>
      </c>
      <c r="H69" s="3">
        <f t="shared" ca="1" si="1"/>
        <v>-8.6419931499920784E-3</v>
      </c>
      <c r="I69" s="3">
        <f t="shared" ca="1" si="2"/>
        <v>3.4252294854814617E-2</v>
      </c>
      <c r="K69" s="3">
        <f t="shared" ca="1" si="3"/>
        <v>5.9171504727648809E-2</v>
      </c>
      <c r="L69" s="3">
        <f t="shared" ca="1" si="4"/>
        <v>-4.2894288004806699E-2</v>
      </c>
    </row>
    <row r="70" spans="2:12" x14ac:dyDescent="0.2">
      <c r="B70" vm="239">
        <f ca="1"/>
        <v>46082</v>
      </c>
      <c r="C70" vm="240">
        <f ca="1"/>
        <v>20.3</v>
      </c>
      <c r="D70" vm="241">
        <f ca="1"/>
        <v>662.29</v>
      </c>
      <c r="E70" vm="242">
        <f ca="1"/>
        <v>98.734399999999994</v>
      </c>
      <c r="G70" s="3">
        <f t="shared" ca="1" si="0"/>
        <v>-3.1026252983293489E-2</v>
      </c>
      <c r="H70" s="3">
        <f t="shared" ca="1" si="1"/>
        <v>-3.4548608580300073E-2</v>
      </c>
      <c r="I70" s="3">
        <f t="shared" ca="1" si="2"/>
        <v>-2.6647935921133764E-2</v>
      </c>
      <c r="K70" s="3">
        <f t="shared" ca="1" si="3"/>
        <v>-4.3783170621597249E-3</v>
      </c>
      <c r="L70" s="3">
        <f t="shared" ca="1" si="4"/>
        <v>-7.9006726591663093E-3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81DFB-BE1D-49FE-9B1C-B8F08BA00074}">
  <dimension ref="B2:L70"/>
  <sheetViews>
    <sheetView showGridLines="0" workbookViewId="0">
      <selection activeCell="M4" sqref="M4"/>
    </sheetView>
  </sheetViews>
  <sheetFormatPr baseColWidth="10" defaultColWidth="8.83203125" defaultRowHeight="15" x14ac:dyDescent="0.2"/>
  <cols>
    <col min="2" max="2" width="10.83203125" bestFit="1" customWidth="1"/>
    <col min="3" max="3" width="10.83203125" customWidth="1"/>
    <col min="4" max="4" width="12" bestFit="1" customWidth="1"/>
    <col min="5" max="5" width="10.5" bestFit="1" customWidth="1"/>
    <col min="11" max="11" width="10.5" customWidth="1"/>
  </cols>
  <sheetData>
    <row r="2" spans="2:12" x14ac:dyDescent="0.2">
      <c r="B2" t="e" vm="243">
        <v>#VALUE!</v>
      </c>
      <c r="G2" s="7" t="s">
        <v>238</v>
      </c>
      <c r="H2" s="7">
        <f ca="1">INDEX(LINEST(K11:K70,L11:L70,1,1),1,1)</f>
        <v>1.4366578437862212</v>
      </c>
    </row>
    <row r="3" spans="2:12" x14ac:dyDescent="0.2">
      <c r="B3" t="e" vm="3">
        <v>#VALUE!</v>
      </c>
      <c r="G3" s="7" t="s">
        <v>239</v>
      </c>
      <c r="H3" s="61">
        <f ca="1">INDEX(LINEST(K11:K70,L11:L70,1,1),2,1)</f>
        <v>0.18577244049312469</v>
      </c>
    </row>
    <row r="4" spans="2:12" x14ac:dyDescent="0.2">
      <c r="B4" t="e" vm="1">
        <v>#VALUE!</v>
      </c>
    </row>
    <row r="6" spans="2:12" x14ac:dyDescent="0.2">
      <c r="B6" s="50">
        <v>44256</v>
      </c>
      <c r="C6" s="50"/>
    </row>
    <row r="7" spans="2:12" x14ac:dyDescent="0.2">
      <c r="B7" s="50">
        <v>46082</v>
      </c>
      <c r="C7" s="50"/>
    </row>
    <row r="9" spans="2:12" x14ac:dyDescent="0.2">
      <c r="C9" t="s">
        <v>240</v>
      </c>
      <c r="D9" t="s">
        <v>241</v>
      </c>
      <c r="E9" t="s">
        <v>242</v>
      </c>
    </row>
    <row r="10" spans="2:12" x14ac:dyDescent="0.2">
      <c r="B10" cm="1" vm="4">
        <f t="array" aca="1" ref="B10:C70" ca="1">_xlfn.STOCKHISTORY(B2,$B$6,$B$7,2,0)</f>
        <v>44256</v>
      </c>
      <c r="C10" vm="244">
        <f ca="1"/>
        <v>154.70400000000001</v>
      </c>
      <c r="D10" cm="1" vm="6">
        <f t="array" aca="1" ref="D10:D70" ca="1">_xlfn.STOCKHISTORY(B3,$B$6,$B$7,2,0,1)</f>
        <v>396.33</v>
      </c>
      <c r="E10" cm="1" vm="7">
        <f t="array" aca="1" ref="E10:E70" ca="1">_xlfn.STOCKHISTORY(B4,$B$6,$B$7,2,0,1)</f>
        <v>94.484399999999994</v>
      </c>
      <c r="G10" t="s">
        <v>243</v>
      </c>
      <c r="H10" t="s">
        <v>244</v>
      </c>
      <c r="I10" t="s">
        <v>245</v>
      </c>
      <c r="K10" t="s">
        <v>246</v>
      </c>
      <c r="L10" t="s">
        <v>247</v>
      </c>
    </row>
    <row r="11" spans="2:12" x14ac:dyDescent="0.2">
      <c r="B11" vm="8">
        <f ca="1"/>
        <v>44287</v>
      </c>
      <c r="C11" vm="245">
        <f ca="1"/>
        <v>173.37100000000001</v>
      </c>
      <c r="D11" vm="10">
        <f ca="1"/>
        <v>417.3</v>
      </c>
      <c r="E11" vm="11">
        <f ca="1"/>
        <v>95.484399999999994</v>
      </c>
      <c r="G11" s="3">
        <f ca="1">(C11-C10)/C10</f>
        <v>0.12066268486916952</v>
      </c>
      <c r="H11" s="3">
        <f ca="1">(D11-D10)/D10</f>
        <v>5.291045341003716E-2</v>
      </c>
      <c r="I11" s="3">
        <f ca="1">(E11-E10)/E10</f>
        <v>1.0583757742018789E-2</v>
      </c>
      <c r="K11" s="3">
        <f ca="1">G11-I11</f>
        <v>0.11007892712715073</v>
      </c>
      <c r="L11" s="3">
        <f ca="1">H11-I11</f>
        <v>4.2326695668018374E-2</v>
      </c>
    </row>
    <row r="12" spans="2:12" x14ac:dyDescent="0.2">
      <c r="B12" vm="12">
        <f ca="1"/>
        <v>44317</v>
      </c>
      <c r="C12" vm="246">
        <f ca="1"/>
        <v>161.15350000000001</v>
      </c>
      <c r="D12" vm="14">
        <f ca="1"/>
        <v>420.04</v>
      </c>
      <c r="E12" vm="15">
        <f ca="1"/>
        <v>100.14060000000001</v>
      </c>
      <c r="G12" s="3">
        <f t="shared" ref="G12:I70" ca="1" si="0">(C12-C11)/C11</f>
        <v>-7.0470263192806179E-2</v>
      </c>
      <c r="H12" s="3">
        <f t="shared" ca="1" si="0"/>
        <v>6.566019650131821E-3</v>
      </c>
      <c r="I12" s="3">
        <f t="shared" ca="1" si="0"/>
        <v>4.8763986577912338E-2</v>
      </c>
      <c r="K12" s="3">
        <f t="shared" ref="K12:K70" ca="1" si="1">G12-I12</f>
        <v>-0.11923424977071852</v>
      </c>
      <c r="L12" s="3">
        <f t="shared" ref="L12:L70" ca="1" si="2">H12-I12</f>
        <v>-4.2197966927780516E-2</v>
      </c>
    </row>
    <row r="13" spans="2:12" x14ac:dyDescent="0.2">
      <c r="B13" vm="16">
        <f ca="1"/>
        <v>44348</v>
      </c>
      <c r="C13" vm="247">
        <f ca="1"/>
        <v>172.00800000000001</v>
      </c>
      <c r="D13" vm="18">
        <f ca="1"/>
        <v>428.06</v>
      </c>
      <c r="E13" vm="19">
        <f ca="1"/>
        <v>101.4063</v>
      </c>
      <c r="G13" s="3">
        <f t="shared" ca="1" si="0"/>
        <v>6.7355037278123045E-2</v>
      </c>
      <c r="H13" s="3">
        <f t="shared" ca="1" si="0"/>
        <v>1.9093419674316686E-2</v>
      </c>
      <c r="I13" s="3">
        <f t="shared" ca="1" si="0"/>
        <v>1.2639229243683334E-2</v>
      </c>
      <c r="K13" s="3">
        <f t="shared" ca="1" si="1"/>
        <v>5.4715808034439713E-2</v>
      </c>
      <c r="L13" s="3">
        <f t="shared" ca="1" si="2"/>
        <v>6.4541904306333522E-3</v>
      </c>
    </row>
    <row r="14" spans="2:12" x14ac:dyDescent="0.2">
      <c r="B14" vm="20">
        <f ca="1"/>
        <v>44378</v>
      </c>
      <c r="C14" vm="248">
        <f ca="1"/>
        <v>166.37950000000001</v>
      </c>
      <c r="D14" vm="22">
        <f ca="1"/>
        <v>438.51</v>
      </c>
      <c r="E14" vm="23">
        <f ca="1"/>
        <v>103.67189999999999</v>
      </c>
      <c r="G14" s="3">
        <f t="shared" ca="1" si="0"/>
        <v>-3.2722315241151587E-2</v>
      </c>
      <c r="H14" s="3">
        <f t="shared" ca="1" si="0"/>
        <v>2.4412465542213681E-2</v>
      </c>
      <c r="I14" s="3">
        <f t="shared" ca="1" si="0"/>
        <v>2.2341807165826896E-2</v>
      </c>
      <c r="K14" s="3">
        <f t="shared" ca="1" si="1"/>
        <v>-5.5064122406978486E-2</v>
      </c>
      <c r="L14" s="3">
        <f t="shared" ca="1" si="2"/>
        <v>2.0706583763867858E-3</v>
      </c>
    </row>
    <row r="15" spans="2:12" x14ac:dyDescent="0.2">
      <c r="B15" vm="24">
        <f ca="1"/>
        <v>44409</v>
      </c>
      <c r="C15" vm="249">
        <f ca="1"/>
        <v>173.5395</v>
      </c>
      <c r="D15" vm="25">
        <f ca="1"/>
        <v>451.56</v>
      </c>
      <c r="E15" vm="26">
        <f ca="1"/>
        <v>99.406300000000002</v>
      </c>
      <c r="G15" s="3">
        <f t="shared" ca="1" si="0"/>
        <v>4.3034147836722651E-2</v>
      </c>
      <c r="H15" s="3">
        <f t="shared" ca="1" si="0"/>
        <v>2.9759868646097035E-2</v>
      </c>
      <c r="I15" s="3">
        <f t="shared" ca="1" si="0"/>
        <v>-4.1145189776593198E-2</v>
      </c>
      <c r="K15" s="3">
        <f t="shared" ca="1" si="1"/>
        <v>8.4179337613315849E-2</v>
      </c>
      <c r="L15" s="3">
        <f t="shared" ca="1" si="2"/>
        <v>7.0905058422690237E-2</v>
      </c>
    </row>
    <row r="16" spans="2:12" x14ac:dyDescent="0.2">
      <c r="B16" vm="27">
        <f ca="1"/>
        <v>44440</v>
      </c>
      <c r="C16" vm="250">
        <f ca="1"/>
        <v>164.25200000000001</v>
      </c>
      <c r="D16" vm="29">
        <f ca="1"/>
        <v>429.14</v>
      </c>
      <c r="E16" vm="30">
        <f ca="1"/>
        <v>97.703100000000006</v>
      </c>
      <c r="G16" s="3">
        <f t="shared" ca="1" si="0"/>
        <v>-5.3518075135631914E-2</v>
      </c>
      <c r="H16" s="3">
        <f t="shared" ca="1" si="0"/>
        <v>-4.9650101869076126E-2</v>
      </c>
      <c r="I16" s="3">
        <f t="shared" ca="1" si="0"/>
        <v>-1.7133722912934041E-2</v>
      </c>
      <c r="K16" s="3">
        <f t="shared" ca="1" si="1"/>
        <v>-3.6384352222697869E-2</v>
      </c>
      <c r="L16" s="3">
        <f t="shared" ca="1" si="2"/>
        <v>-3.2516378956142081E-2</v>
      </c>
    </row>
    <row r="17" spans="2:12" x14ac:dyDescent="0.2">
      <c r="B17" vm="31">
        <f ca="1"/>
        <v>44470</v>
      </c>
      <c r="C17" vm="251">
        <f ca="1"/>
        <v>168.6215</v>
      </c>
      <c r="D17" vm="33">
        <f ca="1"/>
        <v>459.25</v>
      </c>
      <c r="E17" vm="34">
        <f ca="1"/>
        <v>97.078100000000006</v>
      </c>
      <c r="G17" s="3">
        <f t="shared" ca="1" si="0"/>
        <v>2.660241580011195E-2</v>
      </c>
      <c r="H17" s="3">
        <f t="shared" ca="1" si="0"/>
        <v>7.0163582979913347E-2</v>
      </c>
      <c r="I17" s="3">
        <f t="shared" ca="1" si="0"/>
        <v>-6.3969311106812365E-3</v>
      </c>
      <c r="K17" s="3">
        <f t="shared" ca="1" si="1"/>
        <v>3.299934691079319E-2</v>
      </c>
      <c r="L17" s="3">
        <f t="shared" ca="1" si="2"/>
        <v>7.6560514090594584E-2</v>
      </c>
    </row>
    <row r="18" spans="2:12" x14ac:dyDescent="0.2">
      <c r="B18" vm="35">
        <f ca="1"/>
        <v>44501</v>
      </c>
      <c r="C18" vm="252">
        <f ca="1"/>
        <v>175.3535</v>
      </c>
      <c r="D18" vm="37">
        <f ca="1"/>
        <v>455.56</v>
      </c>
      <c r="E18" vm="38">
        <f ca="1"/>
        <v>98.656300000000002</v>
      </c>
      <c r="G18" s="3">
        <f t="shared" ca="1" si="0"/>
        <v>3.9923734517840245E-2</v>
      </c>
      <c r="H18" s="3">
        <f t="shared" ca="1" si="0"/>
        <v>-8.0348394120849168E-3</v>
      </c>
      <c r="I18" s="3">
        <f t="shared" ca="1" si="0"/>
        <v>1.6257013682797618E-2</v>
      </c>
      <c r="K18" s="3">
        <f t="shared" ca="1" si="1"/>
        <v>2.3666720835042628E-2</v>
      </c>
      <c r="L18" s="3">
        <f t="shared" ca="1" si="2"/>
        <v>-2.4291853094882535E-2</v>
      </c>
    </row>
    <row r="19" spans="2:12" x14ac:dyDescent="0.2">
      <c r="B19" vm="39">
        <f ca="1"/>
        <v>44531</v>
      </c>
      <c r="C19" vm="253">
        <f ca="1"/>
        <v>166.71700000000001</v>
      </c>
      <c r="D19" vm="41">
        <f ca="1"/>
        <v>474.96</v>
      </c>
      <c r="E19" vm="42">
        <f ca="1"/>
        <v>98.75</v>
      </c>
      <c r="G19" s="3">
        <f t="shared" ca="1" si="0"/>
        <v>-4.9251939653328754E-2</v>
      </c>
      <c r="H19" s="3">
        <f t="shared" ca="1" si="0"/>
        <v>4.2584950390727842E-2</v>
      </c>
      <c r="I19" s="3">
        <f t="shared" ca="1" si="0"/>
        <v>9.4976195134014081E-4</v>
      </c>
      <c r="K19" s="3">
        <f t="shared" ca="1" si="1"/>
        <v>-5.0201701604668893E-2</v>
      </c>
      <c r="L19" s="3">
        <f t="shared" ca="1" si="2"/>
        <v>4.1635188439387703E-2</v>
      </c>
    </row>
    <row r="20" spans="2:12" x14ac:dyDescent="0.2">
      <c r="B20" vm="43">
        <f ca="1"/>
        <v>44562</v>
      </c>
      <c r="C20" vm="254">
        <f ca="1"/>
        <v>149.5735</v>
      </c>
      <c r="D20" vm="45">
        <f ca="1"/>
        <v>449.91</v>
      </c>
      <c r="E20" vm="46">
        <f ca="1"/>
        <v>96.296899999999994</v>
      </c>
      <c r="G20" s="3">
        <f t="shared" ca="1" si="0"/>
        <v>-0.10282994535650243</v>
      </c>
      <c r="H20" s="3">
        <f t="shared" ca="1" si="0"/>
        <v>-5.2741283476503191E-2</v>
      </c>
      <c r="I20" s="3">
        <f t="shared" ca="1" si="0"/>
        <v>-2.4841518987341837E-2</v>
      </c>
      <c r="K20" s="3">
        <f t="shared" ca="1" si="1"/>
        <v>-7.7988426369160591E-2</v>
      </c>
      <c r="L20" s="3">
        <f t="shared" ca="1" si="2"/>
        <v>-2.7899764489161354E-2</v>
      </c>
    </row>
    <row r="21" spans="2:12" x14ac:dyDescent="0.2">
      <c r="B21" vm="47">
        <f ca="1"/>
        <v>44593</v>
      </c>
      <c r="C21" vm="255">
        <f ca="1"/>
        <v>153.56299999999999</v>
      </c>
      <c r="D21" vm="49">
        <f ca="1"/>
        <v>436.63</v>
      </c>
      <c r="E21" vm="50">
        <f ca="1"/>
        <v>99.75</v>
      </c>
      <c r="G21" s="3">
        <f t="shared" ca="1" si="0"/>
        <v>2.6672505490611589E-2</v>
      </c>
      <c r="H21" s="3">
        <f t="shared" ca="1" si="0"/>
        <v>-2.9517014514013978E-2</v>
      </c>
      <c r="I21" s="3">
        <f t="shared" ca="1" si="0"/>
        <v>3.5858890576955293E-2</v>
      </c>
      <c r="K21" s="3">
        <f t="shared" ca="1" si="1"/>
        <v>-9.1863850863437048E-3</v>
      </c>
      <c r="L21" s="3">
        <f t="shared" ca="1" si="2"/>
        <v>-6.5375905090969272E-2</v>
      </c>
    </row>
    <row r="22" spans="2:12" x14ac:dyDescent="0.2">
      <c r="B22" vm="51">
        <f ca="1"/>
        <v>44621</v>
      </c>
      <c r="C22" vm="256">
        <f ca="1"/>
        <v>162.9975</v>
      </c>
      <c r="D22" vm="53">
        <f ca="1"/>
        <v>451.64</v>
      </c>
      <c r="E22" vm="54">
        <f ca="1"/>
        <v>95.8125</v>
      </c>
      <c r="G22" s="3">
        <f t="shared" ca="1" si="0"/>
        <v>6.1437325397394001E-2</v>
      </c>
      <c r="H22" s="3">
        <f t="shared" ca="1" si="0"/>
        <v>3.4376932414172161E-2</v>
      </c>
      <c r="I22" s="3">
        <f t="shared" ca="1" si="0"/>
        <v>-3.9473684210526314E-2</v>
      </c>
      <c r="K22" s="3">
        <f t="shared" ca="1" si="1"/>
        <v>0.10091100960792032</v>
      </c>
      <c r="L22" s="3">
        <f t="shared" ca="1" si="2"/>
        <v>7.3850616624698467E-2</v>
      </c>
    </row>
    <row r="23" spans="2:12" x14ac:dyDescent="0.2">
      <c r="B23" vm="55">
        <f ca="1"/>
        <v>44652</v>
      </c>
      <c r="C23" vm="257">
        <f ca="1"/>
        <v>124.28149999999999</v>
      </c>
      <c r="D23" vm="57">
        <f ca="1"/>
        <v>412</v>
      </c>
      <c r="E23" vm="58">
        <f ca="1"/>
        <v>91.015600000000006</v>
      </c>
      <c r="G23" s="3">
        <f t="shared" ca="1" si="0"/>
        <v>-0.23752511541588067</v>
      </c>
      <c r="H23" s="3">
        <f t="shared" ca="1" si="0"/>
        <v>-8.7769019573111298E-2</v>
      </c>
      <c r="I23" s="3">
        <f t="shared" ca="1" si="0"/>
        <v>-5.0065492498369148E-2</v>
      </c>
      <c r="K23" s="3">
        <f t="shared" ca="1" si="1"/>
        <v>-0.18745962291751153</v>
      </c>
      <c r="L23" s="3">
        <f t="shared" ca="1" si="2"/>
        <v>-3.7703527074742151E-2</v>
      </c>
    </row>
    <row r="24" spans="2:12" x14ac:dyDescent="0.2">
      <c r="B24" vm="59">
        <f ca="1"/>
        <v>44682</v>
      </c>
      <c r="C24" vm="258">
        <f ca="1"/>
        <v>120.20950000000001</v>
      </c>
      <c r="D24" vm="61">
        <f ca="1"/>
        <v>412.93</v>
      </c>
      <c r="E24" vm="62">
        <f ca="1"/>
        <v>100.0938</v>
      </c>
      <c r="G24" s="3">
        <f t="shared" ca="1" si="0"/>
        <v>-3.2764329365191025E-2</v>
      </c>
      <c r="H24" s="3">
        <f t="shared" ca="1" si="0"/>
        <v>2.2572815533980746E-3</v>
      </c>
      <c r="I24" s="3">
        <f t="shared" ca="1" si="0"/>
        <v>9.9743340702033445E-2</v>
      </c>
      <c r="K24" s="3">
        <f t="shared" ca="1" si="1"/>
        <v>-0.13250767006722447</v>
      </c>
      <c r="L24" s="3">
        <f t="shared" ca="1" si="2"/>
        <v>-9.7486059148635368E-2</v>
      </c>
    </row>
    <row r="25" spans="2:12" x14ac:dyDescent="0.2">
      <c r="B25" vm="63">
        <f ca="1"/>
        <v>44713</v>
      </c>
      <c r="C25" vm="259">
        <f ca="1"/>
        <v>106.21</v>
      </c>
      <c r="D25" vm="65">
        <f ca="1"/>
        <v>377.25</v>
      </c>
      <c r="E25" vm="66">
        <f ca="1"/>
        <v>98.796899999999994</v>
      </c>
      <c r="G25" s="3">
        <f t="shared" ca="1" si="0"/>
        <v>-0.11645918167865278</v>
      </c>
      <c r="H25" s="3">
        <f t="shared" ca="1" si="0"/>
        <v>-8.6406897052769244E-2</v>
      </c>
      <c r="I25" s="3">
        <f t="shared" ca="1" si="0"/>
        <v>-1.2956846478003712E-2</v>
      </c>
      <c r="K25" s="3">
        <f t="shared" ca="1" si="1"/>
        <v>-0.10350233520064907</v>
      </c>
      <c r="L25" s="3">
        <f t="shared" ca="1" si="2"/>
        <v>-7.345005057476553E-2</v>
      </c>
    </row>
    <row r="26" spans="2:12" x14ac:dyDescent="0.2">
      <c r="B26" vm="67">
        <f ca="1"/>
        <v>44743</v>
      </c>
      <c r="C26" vm="260">
        <f ca="1"/>
        <v>134.94999999999999</v>
      </c>
      <c r="D26" vm="69">
        <f ca="1"/>
        <v>411.99</v>
      </c>
      <c r="E26" vm="70">
        <f ca="1"/>
        <v>101.7813</v>
      </c>
      <c r="G26" s="3">
        <f t="shared" ca="1" si="0"/>
        <v>0.27059598907824117</v>
      </c>
      <c r="H26" s="3">
        <f t="shared" ca="1" si="0"/>
        <v>9.2087475149105397E-2</v>
      </c>
      <c r="I26" s="3">
        <f t="shared" ca="1" si="0"/>
        <v>3.0207425536631291E-2</v>
      </c>
      <c r="K26" s="3">
        <f t="shared" ca="1" si="1"/>
        <v>0.24038856354160987</v>
      </c>
      <c r="L26" s="3">
        <f t="shared" ca="1" si="2"/>
        <v>6.1880049612474106E-2</v>
      </c>
    </row>
    <row r="27" spans="2:12" x14ac:dyDescent="0.2">
      <c r="B27" vm="71">
        <f ca="1"/>
        <v>44774</v>
      </c>
      <c r="C27" vm="261">
        <f ca="1"/>
        <v>126.77</v>
      </c>
      <c r="D27" vm="73">
        <f ca="1"/>
        <v>395.18</v>
      </c>
      <c r="E27" vm="74">
        <f ca="1"/>
        <v>96.234399999999994</v>
      </c>
      <c r="G27" s="3">
        <f t="shared" ca="1" si="0"/>
        <v>-6.0615042608373422E-2</v>
      </c>
      <c r="H27" s="3">
        <f t="shared" ca="1" si="0"/>
        <v>-4.0801961212650797E-2</v>
      </c>
      <c r="I27" s="3">
        <f t="shared" ca="1" si="0"/>
        <v>-5.4498223151011119E-2</v>
      </c>
      <c r="K27" s="3">
        <f t="shared" ca="1" si="1"/>
        <v>-6.1168194573623033E-3</v>
      </c>
      <c r="L27" s="3">
        <f t="shared" ca="1" si="2"/>
        <v>1.3696261938360321E-2</v>
      </c>
    </row>
    <row r="28" spans="2:12" x14ac:dyDescent="0.2">
      <c r="B28" vm="75">
        <f ca="1"/>
        <v>44805</v>
      </c>
      <c r="C28" vm="262">
        <f ca="1"/>
        <v>113</v>
      </c>
      <c r="D28" vm="77">
        <f ca="1"/>
        <v>357.18</v>
      </c>
      <c r="E28" vm="78">
        <f ca="1"/>
        <v>91.203100000000006</v>
      </c>
      <c r="G28" s="3">
        <f t="shared" ca="1" si="0"/>
        <v>-0.10862191370197993</v>
      </c>
      <c r="H28" s="3">
        <f t="shared" ca="1" si="0"/>
        <v>-9.615871248544966E-2</v>
      </c>
      <c r="I28" s="3">
        <f t="shared" ca="1" si="0"/>
        <v>-5.2281720465862394E-2</v>
      </c>
      <c r="K28" s="3">
        <f t="shared" ca="1" si="1"/>
        <v>-5.6340193236117539E-2</v>
      </c>
      <c r="L28" s="3">
        <f t="shared" ca="1" si="2"/>
        <v>-4.3876992019587266E-2</v>
      </c>
    </row>
    <row r="29" spans="2:12" x14ac:dyDescent="0.2">
      <c r="B29" vm="79">
        <f ca="1"/>
        <v>44835</v>
      </c>
      <c r="C29" vm="263">
        <f ca="1"/>
        <v>102.44</v>
      </c>
      <c r="D29" vm="81">
        <f ca="1"/>
        <v>386.21</v>
      </c>
      <c r="E29" vm="82">
        <f ca="1"/>
        <v>89.531300000000002</v>
      </c>
      <c r="G29" s="3">
        <f t="shared" ca="1" si="0"/>
        <v>-9.3451327433628342E-2</v>
      </c>
      <c r="H29" s="3">
        <f t="shared" ca="1" si="0"/>
        <v>8.1275547343076238E-2</v>
      </c>
      <c r="I29" s="3">
        <f t="shared" ca="1" si="0"/>
        <v>-1.8330517274083934E-2</v>
      </c>
      <c r="K29" s="3">
        <f t="shared" ca="1" si="1"/>
        <v>-7.5120810159544416E-2</v>
      </c>
      <c r="L29" s="3">
        <f t="shared" ca="1" si="2"/>
        <v>9.9606064617160178E-2</v>
      </c>
    </row>
    <row r="30" spans="2:12" x14ac:dyDescent="0.2">
      <c r="B30" vm="83">
        <f ca="1"/>
        <v>44866</v>
      </c>
      <c r="C30" vm="264">
        <f ca="1"/>
        <v>96.54</v>
      </c>
      <c r="D30" vm="85">
        <f ca="1"/>
        <v>407.68</v>
      </c>
      <c r="E30" vm="86">
        <f ca="1"/>
        <v>103.1875</v>
      </c>
      <c r="G30" s="3">
        <f t="shared" ca="1" si="0"/>
        <v>-5.7594689574384926E-2</v>
      </c>
      <c r="H30" s="3">
        <f t="shared" ca="1" si="0"/>
        <v>5.5591517568162475E-2</v>
      </c>
      <c r="I30" s="3">
        <f t="shared" ca="1" si="0"/>
        <v>0.15252989736550232</v>
      </c>
      <c r="K30" s="3">
        <f t="shared" ca="1" si="1"/>
        <v>-0.21012458693988725</v>
      </c>
      <c r="L30" s="3">
        <f t="shared" ca="1" si="2"/>
        <v>-9.6938379797339852E-2</v>
      </c>
    </row>
    <row r="31" spans="2:12" x14ac:dyDescent="0.2">
      <c r="B31" vm="87">
        <f ca="1"/>
        <v>44896</v>
      </c>
      <c r="C31" vm="265">
        <f ca="1"/>
        <v>84</v>
      </c>
      <c r="D31" vm="89">
        <f ca="1"/>
        <v>382.43</v>
      </c>
      <c r="E31" vm="90">
        <f ca="1"/>
        <v>102</v>
      </c>
      <c r="G31" s="3">
        <f t="shared" ca="1" si="0"/>
        <v>-0.1298943443132381</v>
      </c>
      <c r="H31" s="3">
        <f t="shared" ca="1" si="0"/>
        <v>-6.1935832025117737E-2</v>
      </c>
      <c r="I31" s="3">
        <f t="shared" ca="1" si="0"/>
        <v>-1.1508176862507571E-2</v>
      </c>
      <c r="K31" s="3">
        <f t="shared" ca="1" si="1"/>
        <v>-0.11838616745073052</v>
      </c>
      <c r="L31" s="3">
        <f t="shared" ca="1" si="2"/>
        <v>-5.0427655162610163E-2</v>
      </c>
    </row>
    <row r="32" spans="2:12" x14ac:dyDescent="0.2">
      <c r="B32" vm="91">
        <f ca="1"/>
        <v>44927</v>
      </c>
      <c r="C32" vm="266">
        <f ca="1"/>
        <v>103.13</v>
      </c>
      <c r="D32" vm="93">
        <f ca="1"/>
        <v>406.48</v>
      </c>
      <c r="E32" vm="94">
        <f ca="1"/>
        <v>104.8438</v>
      </c>
      <c r="G32" s="3">
        <f t="shared" ca="1" si="0"/>
        <v>0.22773809523809518</v>
      </c>
      <c r="H32" s="3">
        <f t="shared" ca="1" si="0"/>
        <v>6.2887325785111026E-2</v>
      </c>
      <c r="I32" s="3">
        <f t="shared" ca="1" si="0"/>
        <v>2.7880392156862763E-2</v>
      </c>
      <c r="K32" s="3">
        <f t="shared" ca="1" si="1"/>
        <v>0.19985770308123241</v>
      </c>
      <c r="L32" s="3">
        <f t="shared" ca="1" si="2"/>
        <v>3.5006933628248263E-2</v>
      </c>
    </row>
    <row r="33" spans="2:12" x14ac:dyDescent="0.2">
      <c r="B33" vm="95">
        <f ca="1"/>
        <v>44958</v>
      </c>
      <c r="C33" vm="267">
        <f ca="1"/>
        <v>94.23</v>
      </c>
      <c r="D33" vm="97">
        <f ca="1"/>
        <v>396.26</v>
      </c>
      <c r="E33" vm="98">
        <f ca="1"/>
        <v>96.531300000000002</v>
      </c>
      <c r="G33" s="3">
        <f t="shared" ca="1" si="0"/>
        <v>-8.629884611655185E-2</v>
      </c>
      <c r="H33" s="3">
        <f t="shared" ca="1" si="0"/>
        <v>-2.5142688447156138E-2</v>
      </c>
      <c r="I33" s="3">
        <f t="shared" ca="1" si="0"/>
        <v>-7.9284611965609791E-2</v>
      </c>
      <c r="K33" s="3">
        <f t="shared" ca="1" si="1"/>
        <v>-7.0142341509420586E-3</v>
      </c>
      <c r="L33" s="3">
        <f t="shared" ca="1" si="2"/>
        <v>5.414192351845365E-2</v>
      </c>
    </row>
    <row r="34" spans="2:12" x14ac:dyDescent="0.2">
      <c r="B34" vm="99">
        <f ca="1"/>
        <v>44986</v>
      </c>
      <c r="C34" vm="268">
        <f ca="1"/>
        <v>103.29</v>
      </c>
      <c r="D34" vm="101">
        <f ca="1"/>
        <v>409.39</v>
      </c>
      <c r="E34" vm="102">
        <f ca="1"/>
        <v>100.2188</v>
      </c>
      <c r="G34" s="3">
        <f t="shared" ca="1" si="0"/>
        <v>9.6147723654886996E-2</v>
      </c>
      <c r="H34" s="3">
        <f t="shared" ca="1" si="0"/>
        <v>3.3134810477968998E-2</v>
      </c>
      <c r="I34" s="3">
        <f t="shared" ca="1" si="0"/>
        <v>3.8200044959510543E-2</v>
      </c>
      <c r="K34" s="3">
        <f t="shared" ca="1" si="1"/>
        <v>5.7947678695376453E-2</v>
      </c>
      <c r="L34" s="3">
        <f t="shared" ca="1" si="2"/>
        <v>-5.0652344815415445E-3</v>
      </c>
    </row>
    <row r="35" spans="2:12" x14ac:dyDescent="0.2">
      <c r="B35" vm="103">
        <f ca="1"/>
        <v>45017</v>
      </c>
      <c r="C35" vm="269">
        <f ca="1"/>
        <v>105.45</v>
      </c>
      <c r="D35" vm="105">
        <f ca="1"/>
        <v>415.93</v>
      </c>
      <c r="E35" vm="106">
        <f ca="1"/>
        <v>100.42189999999999</v>
      </c>
      <c r="G35" s="3">
        <f t="shared" ca="1" si="0"/>
        <v>2.0911995352889887E-2</v>
      </c>
      <c r="H35" s="3">
        <f t="shared" ca="1" si="0"/>
        <v>1.5974987176042454E-2</v>
      </c>
      <c r="I35" s="3">
        <f t="shared" ca="1" si="0"/>
        <v>2.0265658738678975E-3</v>
      </c>
      <c r="K35" s="3">
        <f t="shared" ca="1" si="1"/>
        <v>1.8885429479021991E-2</v>
      </c>
      <c r="L35" s="3">
        <f t="shared" ca="1" si="2"/>
        <v>1.3948421302174557E-2</v>
      </c>
    </row>
    <row r="36" spans="2:12" x14ac:dyDescent="0.2">
      <c r="B36" vm="107">
        <f ca="1"/>
        <v>45047</v>
      </c>
      <c r="C36" vm="270">
        <f ca="1"/>
        <v>120.58</v>
      </c>
      <c r="D36" vm="109">
        <f ca="1"/>
        <v>417.85</v>
      </c>
      <c r="E36" vm="110">
        <f ca="1"/>
        <v>97.8125</v>
      </c>
      <c r="G36" s="3">
        <f t="shared" ca="1" si="0"/>
        <v>0.14348032242769079</v>
      </c>
      <c r="H36" s="3">
        <f t="shared" ca="1" si="0"/>
        <v>4.6161613733080465E-3</v>
      </c>
      <c r="I36" s="3">
        <f t="shared" ca="1" si="0"/>
        <v>-2.5984371934806988E-2</v>
      </c>
      <c r="K36" s="3">
        <f t="shared" ca="1" si="1"/>
        <v>0.16946469436249778</v>
      </c>
      <c r="L36" s="3">
        <f t="shared" ca="1" si="2"/>
        <v>3.0600533308115033E-2</v>
      </c>
    </row>
    <row r="37" spans="2:12" x14ac:dyDescent="0.2">
      <c r="B37" vm="111">
        <f ca="1"/>
        <v>45078</v>
      </c>
      <c r="C37" vm="271">
        <f ca="1"/>
        <v>130.36000000000001</v>
      </c>
      <c r="D37" vm="113">
        <f ca="1"/>
        <v>443.28</v>
      </c>
      <c r="E37" vm="114">
        <f ca="1"/>
        <v>96.203100000000006</v>
      </c>
      <c r="G37" s="3">
        <f t="shared" ca="1" si="0"/>
        <v>8.1107978105821987E-2</v>
      </c>
      <c r="H37" s="3">
        <f t="shared" ca="1" si="0"/>
        <v>6.0859159985640655E-2</v>
      </c>
      <c r="I37" s="3">
        <f t="shared" ca="1" si="0"/>
        <v>-1.645392971246E-2</v>
      </c>
      <c r="K37" s="3">
        <f t="shared" ca="1" si="1"/>
        <v>9.7561907818281987E-2</v>
      </c>
      <c r="L37" s="3">
        <f t="shared" ca="1" si="2"/>
        <v>7.7313089698100662E-2</v>
      </c>
    </row>
    <row r="38" spans="2:12" x14ac:dyDescent="0.2">
      <c r="B38" vm="115">
        <f ca="1"/>
        <v>45108</v>
      </c>
      <c r="C38" vm="272">
        <f ca="1"/>
        <v>133.68</v>
      </c>
      <c r="D38" vm="117">
        <f ca="1"/>
        <v>457.79</v>
      </c>
      <c r="E38" vm="118">
        <f ca="1"/>
        <v>95.25</v>
      </c>
      <c r="G38" s="3">
        <f t="shared" ca="1" si="0"/>
        <v>2.5467934949370916E-2</v>
      </c>
      <c r="H38" s="3">
        <f t="shared" ca="1" si="0"/>
        <v>3.273326114419791E-2</v>
      </c>
      <c r="I38" s="3">
        <f t="shared" ca="1" si="0"/>
        <v>-9.9071651537217219E-3</v>
      </c>
      <c r="K38" s="3">
        <f t="shared" ca="1" si="1"/>
        <v>3.5375100103092638E-2</v>
      </c>
      <c r="L38" s="3">
        <f t="shared" ca="1" si="2"/>
        <v>4.2640426297919629E-2</v>
      </c>
    </row>
    <row r="39" spans="2:12" x14ac:dyDescent="0.2">
      <c r="B39" vm="119">
        <f ca="1"/>
        <v>45139</v>
      </c>
      <c r="C39" vm="273">
        <f ca="1"/>
        <v>138.01</v>
      </c>
      <c r="D39" vm="121">
        <f ca="1"/>
        <v>450.35</v>
      </c>
      <c r="E39" vm="122">
        <f ca="1"/>
        <v>98.0625</v>
      </c>
      <c r="G39" s="3">
        <f t="shared" ca="1" si="0"/>
        <v>3.2390783961699463E-2</v>
      </c>
      <c r="H39" s="3">
        <f t="shared" ca="1" si="0"/>
        <v>-1.6251993272024284E-2</v>
      </c>
      <c r="I39" s="3">
        <f t="shared" ca="1" si="0"/>
        <v>2.952755905511811E-2</v>
      </c>
      <c r="K39" s="3">
        <f t="shared" ca="1" si="1"/>
        <v>2.8632249065813527E-3</v>
      </c>
      <c r="L39" s="3">
        <f t="shared" ca="1" si="2"/>
        <v>-4.5779552327142398E-2</v>
      </c>
    </row>
    <row r="40" spans="2:12" x14ac:dyDescent="0.2">
      <c r="B40" vm="123">
        <f ca="1"/>
        <v>45170</v>
      </c>
      <c r="C40" vm="274">
        <f ca="1"/>
        <v>127.12</v>
      </c>
      <c r="D40" vm="125">
        <f ca="1"/>
        <v>427.48</v>
      </c>
      <c r="E40" vm="126">
        <f ca="1"/>
        <v>94.453100000000006</v>
      </c>
      <c r="G40" s="3">
        <f t="shared" ca="1" si="0"/>
        <v>-7.8907325556119026E-2</v>
      </c>
      <c r="H40" s="3">
        <f t="shared" ca="1" si="0"/>
        <v>-5.0782724547574119E-2</v>
      </c>
      <c r="I40" s="3">
        <f t="shared" ca="1" si="0"/>
        <v>-3.6807138304652584E-2</v>
      </c>
      <c r="K40" s="3">
        <f t="shared" ca="1" si="1"/>
        <v>-4.2100187251466442E-2</v>
      </c>
      <c r="L40" s="3">
        <f t="shared" ca="1" si="2"/>
        <v>-1.3975586242921535E-2</v>
      </c>
    </row>
    <row r="41" spans="2:12" x14ac:dyDescent="0.2">
      <c r="B41" vm="127">
        <f ca="1"/>
        <v>45200</v>
      </c>
      <c r="C41" vm="275">
        <f ca="1"/>
        <v>133.09</v>
      </c>
      <c r="D41" vm="129">
        <f ca="1"/>
        <v>418.2</v>
      </c>
      <c r="E41" vm="130">
        <f ca="1"/>
        <v>91.890600000000006</v>
      </c>
      <c r="G41" s="3">
        <f t="shared" ca="1" si="0"/>
        <v>4.6963499056010057E-2</v>
      </c>
      <c r="H41" s="3">
        <f t="shared" ca="1" si="0"/>
        <v>-2.1708617947038527E-2</v>
      </c>
      <c r="I41" s="3">
        <f t="shared" ca="1" si="0"/>
        <v>-2.7129866568699174E-2</v>
      </c>
      <c r="K41" s="3">
        <f t="shared" ca="1" si="1"/>
        <v>7.4093365624709223E-2</v>
      </c>
      <c r="L41" s="3">
        <f t="shared" ca="1" si="2"/>
        <v>5.4212486216606466E-3</v>
      </c>
    </row>
    <row r="42" spans="2:12" x14ac:dyDescent="0.2">
      <c r="B42" vm="131">
        <f ca="1"/>
        <v>45231</v>
      </c>
      <c r="C42" vm="276">
        <f ca="1"/>
        <v>146.09</v>
      </c>
      <c r="D42" vm="133">
        <f ca="1"/>
        <v>456.4</v>
      </c>
      <c r="E42" vm="134">
        <f ca="1"/>
        <v>102.01560000000001</v>
      </c>
      <c r="G42" s="3">
        <f t="shared" ca="1" si="0"/>
        <v>9.7678262829664131E-2</v>
      </c>
      <c r="H42" s="3">
        <f t="shared" ca="1" si="0"/>
        <v>9.134385461501672E-2</v>
      </c>
      <c r="I42" s="3">
        <f t="shared" ca="1" si="0"/>
        <v>0.11018537260612075</v>
      </c>
      <c r="K42" s="3">
        <f t="shared" ca="1" si="1"/>
        <v>-1.2507109776456624E-2</v>
      </c>
      <c r="L42" s="3">
        <f t="shared" ca="1" si="2"/>
        <v>-1.8841517991104034E-2</v>
      </c>
    </row>
    <row r="43" spans="2:12" x14ac:dyDescent="0.2">
      <c r="B43" vm="135">
        <f ca="1"/>
        <v>45261</v>
      </c>
      <c r="C43" vm="277">
        <f ca="1"/>
        <v>151.94</v>
      </c>
      <c r="D43" vm="137">
        <f ca="1"/>
        <v>475.31</v>
      </c>
      <c r="E43" vm="138">
        <f ca="1"/>
        <v>105.1563</v>
      </c>
      <c r="G43" s="3">
        <f t="shared" ca="1" si="0"/>
        <v>4.0043808611130084E-2</v>
      </c>
      <c r="H43" s="3">
        <f t="shared" ca="1" si="0"/>
        <v>4.1432953549518023E-2</v>
      </c>
      <c r="I43" s="3">
        <f t="shared" ca="1" si="0"/>
        <v>3.0786467951960241E-2</v>
      </c>
      <c r="K43" s="3">
        <f t="shared" ca="1" si="1"/>
        <v>9.257340659169843E-3</v>
      </c>
      <c r="L43" s="3">
        <f t="shared" ca="1" si="2"/>
        <v>1.0646485597557782E-2</v>
      </c>
    </row>
    <row r="44" spans="2:12" x14ac:dyDescent="0.2">
      <c r="B44" vm="139">
        <f ca="1"/>
        <v>45292</v>
      </c>
      <c r="C44" vm="278">
        <f ca="1"/>
        <v>155.19999999999999</v>
      </c>
      <c r="D44" vm="141">
        <f ca="1"/>
        <v>482.88</v>
      </c>
      <c r="E44" vm="142">
        <f ca="1"/>
        <v>103.6875</v>
      </c>
      <c r="G44" s="3">
        <f t="shared" ca="1" si="0"/>
        <v>2.1455837830722593E-2</v>
      </c>
      <c r="H44" s="3">
        <f t="shared" ca="1" si="0"/>
        <v>1.5926448002356344E-2</v>
      </c>
      <c r="I44" s="3">
        <f t="shared" ca="1" si="0"/>
        <v>-1.3967779391249041E-2</v>
      </c>
      <c r="K44" s="3">
        <f t="shared" ca="1" si="1"/>
        <v>3.5423617221971633E-2</v>
      </c>
      <c r="L44" s="3">
        <f t="shared" ca="1" si="2"/>
        <v>2.9894227393605387E-2</v>
      </c>
    </row>
    <row r="45" spans="2:12" x14ac:dyDescent="0.2">
      <c r="B45" vm="143">
        <f ca="1"/>
        <v>45323</v>
      </c>
      <c r="C45" vm="279">
        <f ca="1"/>
        <v>176.76</v>
      </c>
      <c r="D45" vm="145">
        <f ca="1"/>
        <v>508.08</v>
      </c>
      <c r="E45" vm="146">
        <f ca="1"/>
        <v>97.875</v>
      </c>
      <c r="G45" s="3">
        <f t="shared" ca="1" si="0"/>
        <v>0.13891752577319591</v>
      </c>
      <c r="H45" s="3">
        <f t="shared" ca="1" si="0"/>
        <v>5.2186878727634174E-2</v>
      </c>
      <c r="I45" s="3">
        <f t="shared" ca="1" si="0"/>
        <v>-5.6057866184448461E-2</v>
      </c>
      <c r="K45" s="3">
        <f t="shared" ca="1" si="1"/>
        <v>0.19497539195764438</v>
      </c>
      <c r="L45" s="3">
        <f t="shared" ca="1" si="2"/>
        <v>0.10824474491208264</v>
      </c>
    </row>
    <row r="46" spans="2:12" x14ac:dyDescent="0.2">
      <c r="B46" vm="147">
        <f ca="1"/>
        <v>45352</v>
      </c>
      <c r="C46" vm="280">
        <f ca="1"/>
        <v>180.38</v>
      </c>
      <c r="D46" vm="149">
        <f ca="1"/>
        <v>523.07000000000005</v>
      </c>
      <c r="E46" vm="150">
        <f ca="1"/>
        <v>98.468800000000002</v>
      </c>
      <c r="G46" s="3">
        <f t="shared" ca="1" si="0"/>
        <v>2.0479746548993011E-2</v>
      </c>
      <c r="H46" s="3">
        <f t="shared" ca="1" si="0"/>
        <v>2.9503227838135856E-2</v>
      </c>
      <c r="I46" s="3">
        <f t="shared" ca="1" si="0"/>
        <v>6.0669220945083185E-3</v>
      </c>
      <c r="K46" s="3">
        <f t="shared" ca="1" si="1"/>
        <v>1.4412824454484692E-2</v>
      </c>
      <c r="L46" s="3">
        <f t="shared" ca="1" si="2"/>
        <v>2.3436305743627539E-2</v>
      </c>
    </row>
    <row r="47" spans="2:12" x14ac:dyDescent="0.2">
      <c r="B47" vm="151">
        <f ca="1"/>
        <v>45383</v>
      </c>
      <c r="C47" vm="281">
        <f ca="1"/>
        <v>175</v>
      </c>
      <c r="D47" vm="153">
        <f ca="1"/>
        <v>501.98</v>
      </c>
      <c r="E47" vm="154">
        <f ca="1"/>
        <v>94.6875</v>
      </c>
      <c r="G47" s="3">
        <f t="shared" ca="1" si="0"/>
        <v>-2.9825923051336044E-2</v>
      </c>
      <c r="H47" s="3">
        <f t="shared" ca="1" si="0"/>
        <v>-4.031965128950242E-2</v>
      </c>
      <c r="I47" s="3">
        <f t="shared" ca="1" si="0"/>
        <v>-3.8400996051541215E-2</v>
      </c>
      <c r="K47" s="3">
        <f t="shared" ca="1" si="1"/>
        <v>8.5750730002051717E-3</v>
      </c>
      <c r="L47" s="3">
        <f t="shared" ca="1" si="2"/>
        <v>-1.9186552379612046E-3</v>
      </c>
    </row>
    <row r="48" spans="2:12" x14ac:dyDescent="0.2">
      <c r="B48" vm="155">
        <f ca="1"/>
        <v>45413</v>
      </c>
      <c r="C48" vm="282">
        <f ca="1"/>
        <v>176.44</v>
      </c>
      <c r="D48" vm="157">
        <f ca="1"/>
        <v>527.37</v>
      </c>
      <c r="E48" vm="158">
        <f ca="1"/>
        <v>98.984399999999994</v>
      </c>
      <c r="G48" s="3">
        <f t="shared" ca="1" si="0"/>
        <v>8.228571428571415E-3</v>
      </c>
      <c r="H48" s="3">
        <f t="shared" ca="1" si="0"/>
        <v>5.0579704370692029E-2</v>
      </c>
      <c r="I48" s="3">
        <f t="shared" ca="1" si="0"/>
        <v>4.5379801980197955E-2</v>
      </c>
      <c r="K48" s="3">
        <f t="shared" ca="1" si="1"/>
        <v>-3.7151230551626543E-2</v>
      </c>
      <c r="L48" s="3">
        <f t="shared" ca="1" si="2"/>
        <v>5.1999023904940739E-3</v>
      </c>
    </row>
    <row r="49" spans="2:12" x14ac:dyDescent="0.2">
      <c r="B49" vm="159">
        <f ca="1"/>
        <v>45444</v>
      </c>
      <c r="C49" vm="283">
        <f ca="1"/>
        <v>193.25</v>
      </c>
      <c r="D49" vm="161">
        <f ca="1"/>
        <v>544.22</v>
      </c>
      <c r="E49" vm="162">
        <f ca="1"/>
        <v>99.671899999999994</v>
      </c>
      <c r="G49" s="3">
        <f t="shared" ca="1" si="0"/>
        <v>9.5273180684652015E-2</v>
      </c>
      <c r="H49" s="3">
        <f t="shared" ca="1" si="0"/>
        <v>3.1951002142708199E-2</v>
      </c>
      <c r="I49" s="3">
        <f t="shared" ca="1" si="0"/>
        <v>6.9455388929972805E-3</v>
      </c>
      <c r="K49" s="3">
        <f t="shared" ca="1" si="1"/>
        <v>8.832764179165474E-2</v>
      </c>
      <c r="L49" s="3">
        <f t="shared" ca="1" si="2"/>
        <v>2.5005463249710917E-2</v>
      </c>
    </row>
    <row r="50" spans="2:12" x14ac:dyDescent="0.2">
      <c r="B50" vm="163">
        <f ca="1"/>
        <v>45474</v>
      </c>
      <c r="C50" vm="284">
        <f ca="1"/>
        <v>186.98</v>
      </c>
      <c r="D50" vm="165">
        <f ca="1"/>
        <v>550.80999999999995</v>
      </c>
      <c r="E50" vm="166">
        <f ca="1"/>
        <v>102.5313</v>
      </c>
      <c r="G50" s="3">
        <f t="shared" ca="1" si="0"/>
        <v>-3.2445019404915967E-2</v>
      </c>
      <c r="H50" s="3">
        <f t="shared" ca="1" si="0"/>
        <v>1.210907353643732E-2</v>
      </c>
      <c r="I50" s="3">
        <f t="shared" ca="1" si="0"/>
        <v>2.8688125740554841E-2</v>
      </c>
      <c r="K50" s="3">
        <f t="shared" ca="1" si="1"/>
        <v>-6.1133145145470809E-2</v>
      </c>
      <c r="L50" s="3">
        <f t="shared" ca="1" si="2"/>
        <v>-1.6579052204117522E-2</v>
      </c>
    </row>
    <row r="51" spans="2:12" x14ac:dyDescent="0.2">
      <c r="B51" vm="167">
        <f ca="1"/>
        <v>45505</v>
      </c>
      <c r="C51" vm="285">
        <f ca="1"/>
        <v>178.5</v>
      </c>
      <c r="D51" vm="169">
        <f ca="1"/>
        <v>563.67999999999995</v>
      </c>
      <c r="E51" vm="170">
        <f ca="1"/>
        <v>99.718800000000002</v>
      </c>
      <c r="G51" s="3">
        <f t="shared" ca="1" si="0"/>
        <v>-4.5352444111669644E-2</v>
      </c>
      <c r="H51" s="3">
        <f t="shared" ca="1" si="0"/>
        <v>2.3365588860042495E-2</v>
      </c>
      <c r="I51" s="3">
        <f t="shared" ca="1" si="0"/>
        <v>-2.7430648006998837E-2</v>
      </c>
      <c r="K51" s="3">
        <f t="shared" ca="1" si="1"/>
        <v>-1.7921796104670807E-2</v>
      </c>
      <c r="L51" s="3">
        <f t="shared" ca="1" si="2"/>
        <v>5.0796236867041336E-2</v>
      </c>
    </row>
    <row r="52" spans="2:12" x14ac:dyDescent="0.2">
      <c r="B52" vm="171">
        <f ca="1"/>
        <v>45536</v>
      </c>
      <c r="C52" vm="286">
        <f ca="1"/>
        <v>186.33</v>
      </c>
      <c r="D52" vm="173">
        <f ca="1"/>
        <v>573.76</v>
      </c>
      <c r="E52" vm="174">
        <f ca="1"/>
        <v>100.79689999999999</v>
      </c>
      <c r="G52" s="3">
        <f t="shared" ca="1" si="0"/>
        <v>4.3865546218487463E-2</v>
      </c>
      <c r="H52" s="3">
        <f t="shared" ca="1" si="0"/>
        <v>1.7882486517172939E-2</v>
      </c>
      <c r="I52" s="3">
        <f t="shared" ca="1" si="0"/>
        <v>1.081140166147198E-2</v>
      </c>
      <c r="K52" s="3">
        <f t="shared" ca="1" si="1"/>
        <v>3.3054144557015483E-2</v>
      </c>
      <c r="L52" s="3">
        <f t="shared" ca="1" si="2"/>
        <v>7.0710848557009598E-3</v>
      </c>
    </row>
    <row r="53" spans="2:12" x14ac:dyDescent="0.2">
      <c r="B53" vm="175">
        <f ca="1"/>
        <v>45566</v>
      </c>
      <c r="C53" vm="287">
        <f ca="1"/>
        <v>186.4</v>
      </c>
      <c r="D53" vm="177">
        <f ca="1"/>
        <v>568.64</v>
      </c>
      <c r="E53" vm="178">
        <f ca="1"/>
        <v>96.718800000000002</v>
      </c>
      <c r="G53" s="3">
        <f t="shared" ca="1" si="0"/>
        <v>3.7567756131590818E-4</v>
      </c>
      <c r="H53" s="3">
        <f t="shared" ca="1" si="0"/>
        <v>-8.9235917456776427E-3</v>
      </c>
      <c r="I53" s="3">
        <f t="shared" ca="1" si="0"/>
        <v>-4.0458585531896241E-2</v>
      </c>
      <c r="K53" s="3">
        <f t="shared" ca="1" si="1"/>
        <v>4.0834263093212149E-2</v>
      </c>
      <c r="L53" s="3">
        <f t="shared" ca="1" si="2"/>
        <v>3.1534993786218601E-2</v>
      </c>
    </row>
    <row r="54" spans="2:12" x14ac:dyDescent="0.2">
      <c r="B54" vm="179">
        <f ca="1"/>
        <v>45597</v>
      </c>
      <c r="C54" vm="288">
        <f ca="1"/>
        <v>207.89</v>
      </c>
      <c r="D54" vm="181">
        <f ca="1"/>
        <v>602.54999999999995</v>
      </c>
      <c r="E54" vm="182">
        <f ca="1"/>
        <v>100.57810000000001</v>
      </c>
      <c r="G54" s="3">
        <f t="shared" ca="1" si="0"/>
        <v>0.11528969957081535</v>
      </c>
      <c r="H54" s="3">
        <f t="shared" ca="1" si="0"/>
        <v>5.9633511536297076E-2</v>
      </c>
      <c r="I54" s="3">
        <f t="shared" ca="1" si="0"/>
        <v>3.990227339462446E-2</v>
      </c>
      <c r="K54" s="3">
        <f t="shared" ca="1" si="1"/>
        <v>7.5387426176190889E-2</v>
      </c>
      <c r="L54" s="3">
        <f t="shared" ca="1" si="2"/>
        <v>1.9731238141672616E-2</v>
      </c>
    </row>
    <row r="55" spans="2:12" x14ac:dyDescent="0.2">
      <c r="B55" vm="183">
        <f ca="1"/>
        <v>45627</v>
      </c>
      <c r="C55" vm="289">
        <f ca="1"/>
        <v>219.39</v>
      </c>
      <c r="D55" vm="185">
        <f ca="1"/>
        <v>586.08000000000004</v>
      </c>
      <c r="E55" vm="186">
        <f ca="1"/>
        <v>97.453100000000006</v>
      </c>
      <c r="G55" s="3">
        <f t="shared" ca="1" si="0"/>
        <v>5.5317716099860505E-2</v>
      </c>
      <c r="H55" s="3">
        <f t="shared" ca="1" si="0"/>
        <v>-2.7333831217326222E-2</v>
      </c>
      <c r="I55" s="3">
        <f t="shared" ca="1" si="0"/>
        <v>-3.1070382120958737E-2</v>
      </c>
      <c r="K55" s="3">
        <f t="shared" ca="1" si="1"/>
        <v>8.6388098220819248E-2</v>
      </c>
      <c r="L55" s="3">
        <f t="shared" ca="1" si="2"/>
        <v>3.7365509036325142E-3</v>
      </c>
    </row>
    <row r="56" spans="2:12" x14ac:dyDescent="0.2">
      <c r="B56" vm="187">
        <f ca="1"/>
        <v>45658</v>
      </c>
      <c r="C56" vm="290">
        <f ca="1"/>
        <v>237.68</v>
      </c>
      <c r="D56" vm="189">
        <f ca="1"/>
        <v>601.82000000000005</v>
      </c>
      <c r="E56" vm="30">
        <f ca="1"/>
        <v>97.703100000000006</v>
      </c>
      <c r="G56" s="3">
        <f t="shared" ca="1" si="0"/>
        <v>8.3367519030037932E-2</v>
      </c>
      <c r="H56" s="3">
        <f t="shared" ca="1" si="0"/>
        <v>2.6856401856401872E-2</v>
      </c>
      <c r="I56" s="3">
        <f t="shared" ca="1" si="0"/>
        <v>2.5653365567642281E-3</v>
      </c>
      <c r="K56" s="3">
        <f t="shared" ca="1" si="1"/>
        <v>8.0802182473273698E-2</v>
      </c>
      <c r="L56" s="3">
        <f t="shared" ca="1" si="2"/>
        <v>2.4291065299637642E-2</v>
      </c>
    </row>
    <row r="57" spans="2:12" x14ac:dyDescent="0.2">
      <c r="B57" vm="190">
        <f ca="1"/>
        <v>45689</v>
      </c>
      <c r="C57" vm="291">
        <f ca="1"/>
        <v>212.28</v>
      </c>
      <c r="D57" vm="192">
        <f ca="1"/>
        <v>594.17999999999995</v>
      </c>
      <c r="E57" vm="193">
        <f ca="1"/>
        <v>103.4063</v>
      </c>
      <c r="G57" s="3">
        <f t="shared" ca="1" si="0"/>
        <v>-0.10686637495792664</v>
      </c>
      <c r="H57" s="3">
        <f t="shared" ca="1" si="0"/>
        <v>-1.2694825695390814E-2</v>
      </c>
      <c r="I57" s="3">
        <f t="shared" ca="1" si="0"/>
        <v>5.8372764016699524E-2</v>
      </c>
      <c r="K57" s="3">
        <f t="shared" ca="1" si="1"/>
        <v>-0.16523913897462617</v>
      </c>
      <c r="L57" s="3">
        <f t="shared" ca="1" si="2"/>
        <v>-7.1067589712090345E-2</v>
      </c>
    </row>
    <row r="58" spans="2:12" x14ac:dyDescent="0.2">
      <c r="B58" vm="194">
        <f ca="1"/>
        <v>45717</v>
      </c>
      <c r="C58" vm="292">
        <f ca="1"/>
        <v>190.26</v>
      </c>
      <c r="D58" vm="195">
        <f ca="1"/>
        <v>559.39</v>
      </c>
      <c r="E58" vm="196">
        <f ca="1"/>
        <v>103.32810000000001</v>
      </c>
      <c r="G58" s="3">
        <f t="shared" ca="1" si="0"/>
        <v>-0.10373092142453368</v>
      </c>
      <c r="H58" s="3">
        <f t="shared" ca="1" si="0"/>
        <v>-5.8551280756673006E-2</v>
      </c>
      <c r="I58" s="3">
        <f t="shared" ca="1" si="0"/>
        <v>-7.5624019039454446E-4</v>
      </c>
      <c r="K58" s="3">
        <f t="shared" ca="1" si="1"/>
        <v>-0.10297468123413914</v>
      </c>
      <c r="L58" s="3">
        <f t="shared" ca="1" si="2"/>
        <v>-5.7795040566278461E-2</v>
      </c>
    </row>
    <row r="59" spans="2:12" x14ac:dyDescent="0.2">
      <c r="B59" vm="197">
        <f ca="1"/>
        <v>45748</v>
      </c>
      <c r="C59" vm="293">
        <f ca="1"/>
        <v>184.42</v>
      </c>
      <c r="D59" vm="199">
        <f ca="1"/>
        <v>554.54</v>
      </c>
      <c r="E59" vm="200">
        <f ca="1"/>
        <v>103.5313</v>
      </c>
      <c r="G59" s="3">
        <f t="shared" ca="1" si="0"/>
        <v>-3.069483864185853E-2</v>
      </c>
      <c r="H59" s="3">
        <f t="shared" ca="1" si="0"/>
        <v>-8.6701585655804044E-3</v>
      </c>
      <c r="I59" s="3">
        <f t="shared" ca="1" si="0"/>
        <v>1.9665512092063571E-3</v>
      </c>
      <c r="K59" s="3">
        <f t="shared" ca="1" si="1"/>
        <v>-3.2661389851064884E-2</v>
      </c>
      <c r="L59" s="3">
        <f t="shared" ca="1" si="2"/>
        <v>-1.0636709774786762E-2</v>
      </c>
    </row>
    <row r="60" spans="2:12" x14ac:dyDescent="0.2">
      <c r="B60" vm="201">
        <f ca="1"/>
        <v>45778</v>
      </c>
      <c r="C60" vm="294">
        <f ca="1"/>
        <v>205.01</v>
      </c>
      <c r="D60" vm="203">
        <f ca="1"/>
        <v>589.39</v>
      </c>
      <c r="E60" vm="204">
        <f ca="1"/>
        <v>98.8125</v>
      </c>
      <c r="G60" s="3">
        <f t="shared" ca="1" si="0"/>
        <v>0.11164732675414817</v>
      </c>
      <c r="H60" s="3">
        <f t="shared" ca="1" si="0"/>
        <v>6.284488044144701E-2</v>
      </c>
      <c r="I60" s="3">
        <f t="shared" ca="1" si="0"/>
        <v>-4.5578486892369763E-2</v>
      </c>
      <c r="K60" s="3">
        <f t="shared" ca="1" si="1"/>
        <v>0.15722581364651794</v>
      </c>
      <c r="L60" s="3">
        <f t="shared" ca="1" si="2"/>
        <v>0.10842336733381677</v>
      </c>
    </row>
    <row r="61" spans="2:12" x14ac:dyDescent="0.2">
      <c r="B61" vm="205">
        <f ca="1"/>
        <v>45809</v>
      </c>
      <c r="C61" vm="289">
        <f ca="1"/>
        <v>219.39</v>
      </c>
      <c r="D61" vm="207">
        <f ca="1"/>
        <v>617.85</v>
      </c>
      <c r="E61" vm="15">
        <f ca="1"/>
        <v>100.14060000000001</v>
      </c>
      <c r="G61" s="3">
        <f t="shared" ca="1" si="0"/>
        <v>7.0142919857567904E-2</v>
      </c>
      <c r="H61" s="3">
        <f t="shared" ca="1" si="0"/>
        <v>4.828721220244666E-2</v>
      </c>
      <c r="I61" s="3">
        <f t="shared" ca="1" si="0"/>
        <v>1.3440607210626249E-2</v>
      </c>
      <c r="K61" s="3">
        <f t="shared" ca="1" si="1"/>
        <v>5.6702312646941658E-2</v>
      </c>
      <c r="L61" s="3">
        <f t="shared" ca="1" si="2"/>
        <v>3.4846604991820407E-2</v>
      </c>
    </row>
    <row r="62" spans="2:12" x14ac:dyDescent="0.2">
      <c r="B62" vm="208">
        <f ca="1"/>
        <v>45839</v>
      </c>
      <c r="C62" vm="295">
        <f ca="1"/>
        <v>234.11</v>
      </c>
      <c r="D62" vm="210">
        <f ca="1"/>
        <v>632.08000000000004</v>
      </c>
      <c r="E62" vm="211">
        <f ca="1"/>
        <v>98.953100000000006</v>
      </c>
      <c r="G62" s="3">
        <f t="shared" ca="1" si="0"/>
        <v>6.7095127398696511E-2</v>
      </c>
      <c r="H62" s="3">
        <f t="shared" ca="1" si="0"/>
        <v>2.3031480132718326E-2</v>
      </c>
      <c r="I62" s="3">
        <f t="shared" ca="1" si="0"/>
        <v>-1.1858327191968093E-2</v>
      </c>
      <c r="K62" s="3">
        <f t="shared" ca="1" si="1"/>
        <v>7.8953454590664607E-2</v>
      </c>
      <c r="L62" s="3">
        <f t="shared" ca="1" si="2"/>
        <v>3.4889807324686418E-2</v>
      </c>
    </row>
    <row r="63" spans="2:12" x14ac:dyDescent="0.2">
      <c r="B63" vm="212">
        <f ca="1"/>
        <v>45870</v>
      </c>
      <c r="C63" vm="296">
        <f ca="1"/>
        <v>229</v>
      </c>
      <c r="D63" vm="214">
        <f ca="1"/>
        <v>645.04999999999995</v>
      </c>
      <c r="E63" vm="15">
        <f ca="1"/>
        <v>100.14060000000001</v>
      </c>
      <c r="G63" s="3">
        <f t="shared" ca="1" si="0"/>
        <v>-2.1827346119345663E-2</v>
      </c>
      <c r="H63" s="3">
        <f t="shared" ca="1" si="0"/>
        <v>2.051955448677369E-2</v>
      </c>
      <c r="I63" s="3">
        <f t="shared" ca="1" si="0"/>
        <v>1.2000634644088966E-2</v>
      </c>
      <c r="K63" s="3">
        <f t="shared" ca="1" si="1"/>
        <v>-3.3827980763434629E-2</v>
      </c>
      <c r="L63" s="3">
        <f t="shared" ca="1" si="2"/>
        <v>8.5189198426847239E-3</v>
      </c>
    </row>
    <row r="64" spans="2:12" x14ac:dyDescent="0.2">
      <c r="B64" vm="215">
        <f ca="1"/>
        <v>45901</v>
      </c>
      <c r="C64" vm="297">
        <f ca="1"/>
        <v>219.57</v>
      </c>
      <c r="D64" vm="217">
        <f ca="1"/>
        <v>666.18</v>
      </c>
      <c r="E64" vm="218">
        <f ca="1"/>
        <v>100.75</v>
      </c>
      <c r="G64" s="3">
        <f t="shared" ca="1" si="0"/>
        <v>-4.1179039301310075E-2</v>
      </c>
      <c r="H64" s="3">
        <f t="shared" ca="1" si="0"/>
        <v>3.275715060847996E-2</v>
      </c>
      <c r="I64" s="3">
        <f t="shared" ca="1" si="0"/>
        <v>6.085443865924447E-3</v>
      </c>
      <c r="K64" s="3">
        <f t="shared" ca="1" si="1"/>
        <v>-4.7264483167234521E-2</v>
      </c>
      <c r="L64" s="3">
        <f t="shared" ca="1" si="2"/>
        <v>2.6671706742555513E-2</v>
      </c>
    </row>
    <row r="65" spans="2:12" x14ac:dyDescent="0.2">
      <c r="B65" vm="219">
        <f ca="1"/>
        <v>45931</v>
      </c>
      <c r="C65" vm="298">
        <f ca="1"/>
        <v>244.22</v>
      </c>
      <c r="D65" vm="221">
        <f ca="1"/>
        <v>682.06</v>
      </c>
      <c r="E65" vm="222">
        <f ca="1"/>
        <v>101.32810000000001</v>
      </c>
      <c r="G65" s="3">
        <f t="shared" ca="1" si="0"/>
        <v>0.11226488135901994</v>
      </c>
      <c r="H65" s="3">
        <f t="shared" ca="1" si="0"/>
        <v>2.3837401302951148E-2</v>
      </c>
      <c r="I65" s="3">
        <f t="shared" ca="1" si="0"/>
        <v>5.7379652605459679E-3</v>
      </c>
      <c r="K65" s="3">
        <f t="shared" ca="1" si="1"/>
        <v>0.10652691609847396</v>
      </c>
      <c r="L65" s="3">
        <f t="shared" ca="1" si="2"/>
        <v>1.809943604240518E-2</v>
      </c>
    </row>
    <row r="66" spans="2:12" x14ac:dyDescent="0.2">
      <c r="B66" vm="223">
        <f ca="1"/>
        <v>45962</v>
      </c>
      <c r="C66" vm="299">
        <f ca="1"/>
        <v>233.22</v>
      </c>
      <c r="D66" vm="225">
        <f ca="1"/>
        <v>683.39</v>
      </c>
      <c r="E66" vm="226">
        <f ca="1"/>
        <v>99.859399999999994</v>
      </c>
      <c r="G66" s="3">
        <f t="shared" ca="1" si="0"/>
        <v>-4.5041356154287115E-2</v>
      </c>
      <c r="H66" s="3">
        <f t="shared" ca="1" si="0"/>
        <v>1.9499750755066138E-3</v>
      </c>
      <c r="I66" s="3">
        <f t="shared" ca="1" si="0"/>
        <v>-1.4494498564564149E-2</v>
      </c>
      <c r="K66" s="3">
        <f t="shared" ca="1" si="1"/>
        <v>-3.0546857589722969E-2</v>
      </c>
      <c r="L66" s="3">
        <f t="shared" ca="1" si="2"/>
        <v>1.6444473640070761E-2</v>
      </c>
    </row>
    <row r="67" spans="2:12" x14ac:dyDescent="0.2">
      <c r="B67" vm="227">
        <f ca="1"/>
        <v>45992</v>
      </c>
      <c r="C67" vm="300">
        <f ca="1"/>
        <v>230.82</v>
      </c>
      <c r="D67" vm="229">
        <f ca="1"/>
        <v>681.92</v>
      </c>
      <c r="E67" vm="230">
        <f ca="1"/>
        <v>98.6875</v>
      </c>
      <c r="G67" s="3">
        <f t="shared" ca="1" si="0"/>
        <v>-1.029071263184978E-2</v>
      </c>
      <c r="H67" s="3">
        <f t="shared" ca="1" si="0"/>
        <v>-2.151041133174362E-3</v>
      </c>
      <c r="I67" s="3">
        <f t="shared" ca="1" si="0"/>
        <v>-1.1735500113159039E-2</v>
      </c>
      <c r="K67" s="3">
        <f t="shared" ca="1" si="1"/>
        <v>1.4447874813092593E-3</v>
      </c>
      <c r="L67" s="3">
        <f t="shared" ca="1" si="2"/>
        <v>9.5844589799846773E-3</v>
      </c>
    </row>
    <row r="68" spans="2:12" x14ac:dyDescent="0.2">
      <c r="B68" vm="231">
        <f ca="1"/>
        <v>46023</v>
      </c>
      <c r="C68" vm="301">
        <f ca="1"/>
        <v>239.3</v>
      </c>
      <c r="D68" vm="233">
        <f ca="1"/>
        <v>691.97</v>
      </c>
      <c r="E68" vm="234">
        <f ca="1"/>
        <v>98.078100000000006</v>
      </c>
      <c r="G68" s="3">
        <f t="shared" ca="1" si="0"/>
        <v>3.6738584178147557E-2</v>
      </c>
      <c r="H68" s="3">
        <f t="shared" ca="1" si="0"/>
        <v>1.4737799155326239E-2</v>
      </c>
      <c r="I68" s="3">
        <f t="shared" ca="1" si="0"/>
        <v>-6.1750474984166555E-3</v>
      </c>
      <c r="K68" s="3">
        <f t="shared" ca="1" si="1"/>
        <v>4.2913631676564215E-2</v>
      </c>
      <c r="L68" s="3">
        <f t="shared" ca="1" si="2"/>
        <v>2.0912846653742895E-2</v>
      </c>
    </row>
    <row r="69" spans="2:12" x14ac:dyDescent="0.2">
      <c r="B69" vm="235">
        <f ca="1"/>
        <v>46054</v>
      </c>
      <c r="C69" vm="302">
        <f ca="1"/>
        <v>210</v>
      </c>
      <c r="D69" vm="237">
        <f ca="1"/>
        <v>685.99</v>
      </c>
      <c r="E69" vm="238">
        <f ca="1"/>
        <v>101.4375</v>
      </c>
      <c r="G69" s="3">
        <f t="shared" ca="1" si="0"/>
        <v>-0.12244045131633936</v>
      </c>
      <c r="H69" s="3">
        <f t="shared" ca="1" si="0"/>
        <v>-8.6419931499920784E-3</v>
      </c>
      <c r="I69" s="3">
        <f t="shared" ca="1" si="0"/>
        <v>3.4252294854814617E-2</v>
      </c>
      <c r="K69" s="3">
        <f t="shared" ca="1" si="1"/>
        <v>-0.15669274617115397</v>
      </c>
      <c r="L69" s="3">
        <f t="shared" ca="1" si="2"/>
        <v>-4.2894288004806699E-2</v>
      </c>
    </row>
    <row r="70" spans="2:12" x14ac:dyDescent="0.2">
      <c r="B70" vm="239">
        <f ca="1"/>
        <v>46082</v>
      </c>
      <c r="C70" vm="303">
        <f ca="1"/>
        <v>207.67</v>
      </c>
      <c r="D70" vm="241">
        <f ca="1"/>
        <v>662.29</v>
      </c>
      <c r="E70" vm="242">
        <f ca="1"/>
        <v>98.734399999999994</v>
      </c>
      <c r="G70" s="3">
        <f t="shared" ca="1" si="0"/>
        <v>-1.1095238095238154E-2</v>
      </c>
      <c r="H70" s="3">
        <f t="shared" ca="1" si="0"/>
        <v>-3.4548608580300073E-2</v>
      </c>
      <c r="I70" s="3">
        <f t="shared" ca="1" si="0"/>
        <v>-2.6647935921133764E-2</v>
      </c>
      <c r="K70" s="3">
        <f t="shared" ca="1" si="1"/>
        <v>1.555269782589561E-2</v>
      </c>
      <c r="L70" s="3">
        <f t="shared" ca="1" si="2"/>
        <v>-7.9006726591663093E-3</v>
      </c>
    </row>
  </sheetData>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66FB9-BEE4-424E-BE54-4A18BFCE62F7}">
  <dimension ref="B2:L70"/>
  <sheetViews>
    <sheetView showGridLines="0" workbookViewId="0">
      <selection activeCell="B3" sqref="B3"/>
    </sheetView>
  </sheetViews>
  <sheetFormatPr baseColWidth="10" defaultColWidth="8.83203125" defaultRowHeight="15" x14ac:dyDescent="0.2"/>
  <cols>
    <col min="2" max="2" width="10.83203125" bestFit="1" customWidth="1"/>
    <col min="3" max="3" width="10.83203125" customWidth="1"/>
    <col min="4" max="4" width="12" bestFit="1" customWidth="1"/>
    <col min="5" max="5" width="10.5" bestFit="1" customWidth="1"/>
    <col min="11" max="11" width="10.5" customWidth="1"/>
  </cols>
  <sheetData>
    <row r="2" spans="2:12" x14ac:dyDescent="0.2">
      <c r="B2" t="e" vm="304">
        <v>#VALUE!</v>
      </c>
      <c r="G2" s="7" t="s">
        <v>238</v>
      </c>
      <c r="H2" s="7">
        <f ca="1">INDEX(LINEST(K11:K70,L11:L70,1,1),1,1)</f>
        <v>0.98168361234776746</v>
      </c>
    </row>
    <row r="3" spans="2:12" x14ac:dyDescent="0.2">
      <c r="B3" t="e" vm="3">
        <v>#VALUE!</v>
      </c>
      <c r="G3" s="7" t="s">
        <v>239</v>
      </c>
      <c r="H3" s="61">
        <f ca="1">INDEX(LINEST(K11:K70,L11:L70,1,1),2,1)</f>
        <v>0.1411115204959898</v>
      </c>
    </row>
    <row r="4" spans="2:12" x14ac:dyDescent="0.2">
      <c r="B4" t="e" vm="1">
        <v>#VALUE!</v>
      </c>
    </row>
    <row r="6" spans="2:12" x14ac:dyDescent="0.2">
      <c r="B6" s="50">
        <v>44256</v>
      </c>
      <c r="C6" s="50"/>
    </row>
    <row r="7" spans="2:12" x14ac:dyDescent="0.2">
      <c r="B7" s="50">
        <v>46082</v>
      </c>
      <c r="C7" s="50"/>
    </row>
    <row r="9" spans="2:12" x14ac:dyDescent="0.2">
      <c r="C9" t="s">
        <v>240</v>
      </c>
      <c r="D9" t="s">
        <v>241</v>
      </c>
      <c r="E9" t="s">
        <v>242</v>
      </c>
    </row>
    <row r="10" spans="2:12" x14ac:dyDescent="0.2">
      <c r="B10" cm="1" vm="4">
        <f t="array" aca="1" ref="B10:C70" ca="1">_xlfn.STOCKHISTORY(B2,$B$6,$B$7,2,0)</f>
        <v>44256</v>
      </c>
      <c r="C10" vm="305">
        <f ca="1"/>
        <v>352.48</v>
      </c>
      <c r="D10" cm="1" vm="6">
        <f t="array" aca="1" ref="D10:D70" ca="1">_xlfn.STOCKHISTORY(B3,$B$6,$B$7,2,0,1)</f>
        <v>396.33</v>
      </c>
      <c r="E10" cm="1" vm="7">
        <f t="array" aca="1" ref="E10:E70" ca="1">_xlfn.STOCKHISTORY(B4,$B$6,$B$7,2,0,1)</f>
        <v>94.484399999999994</v>
      </c>
      <c r="G10" t="s">
        <v>243</v>
      </c>
      <c r="H10" t="s">
        <v>244</v>
      </c>
      <c r="I10" t="s">
        <v>245</v>
      </c>
      <c r="K10" t="s">
        <v>246</v>
      </c>
      <c r="L10" t="s">
        <v>247</v>
      </c>
    </row>
    <row r="11" spans="2:12" x14ac:dyDescent="0.2">
      <c r="B11" vm="8">
        <f ca="1"/>
        <v>44287</v>
      </c>
      <c r="C11" vm="306">
        <f ca="1"/>
        <v>372.09</v>
      </c>
      <c r="D11" vm="10">
        <f ca="1"/>
        <v>417.3</v>
      </c>
      <c r="E11" vm="11">
        <f ca="1"/>
        <v>95.484399999999994</v>
      </c>
      <c r="G11" s="3">
        <f ca="1">(C11-C10)/C10</f>
        <v>5.563436223331808E-2</v>
      </c>
      <c r="H11" s="3">
        <f ca="1">(D11-D10)/D10</f>
        <v>5.291045341003716E-2</v>
      </c>
      <c r="I11" s="3">
        <f ca="1">(E11-E10)/E10</f>
        <v>1.0583757742018789E-2</v>
      </c>
      <c r="K11" s="3">
        <f ca="1">G11-I11</f>
        <v>4.5050604491299287E-2</v>
      </c>
      <c r="L11" s="3">
        <f ca="1">H11-I11</f>
        <v>4.2326695668018374E-2</v>
      </c>
    </row>
    <row r="12" spans="2:12" x14ac:dyDescent="0.2">
      <c r="B12" vm="12">
        <f ca="1"/>
        <v>44317</v>
      </c>
      <c r="C12" vm="307">
        <f ca="1"/>
        <v>378.27</v>
      </c>
      <c r="D12" vm="14">
        <f ca="1"/>
        <v>420.04</v>
      </c>
      <c r="E12" vm="15">
        <f ca="1"/>
        <v>100.14060000000001</v>
      </c>
      <c r="G12" s="3">
        <f t="shared" ref="G12:I70" ca="1" si="0">(C12-C11)/C11</f>
        <v>1.6608884947190216E-2</v>
      </c>
      <c r="H12" s="3">
        <f t="shared" ca="1" si="0"/>
        <v>6.566019650131821E-3</v>
      </c>
      <c r="I12" s="3">
        <f t="shared" ca="1" si="0"/>
        <v>4.8763986577912338E-2</v>
      </c>
      <c r="K12" s="3">
        <f t="shared" ref="K12:K70" ca="1" si="1">G12-I12</f>
        <v>-3.2155101630722119E-2</v>
      </c>
      <c r="L12" s="3">
        <f t="shared" ref="L12:L70" ca="1" si="2">H12-I12</f>
        <v>-4.2197966927780516E-2</v>
      </c>
    </row>
    <row r="13" spans="2:12" x14ac:dyDescent="0.2">
      <c r="B13" vm="16">
        <f ca="1"/>
        <v>44348</v>
      </c>
      <c r="C13" vm="308">
        <f ca="1"/>
        <v>395.67</v>
      </c>
      <c r="D13" vm="18">
        <f ca="1"/>
        <v>428.06</v>
      </c>
      <c r="E13" vm="19">
        <f ca="1"/>
        <v>101.4063</v>
      </c>
      <c r="G13" s="3">
        <f t="shared" ca="1" si="0"/>
        <v>4.5998889681973285E-2</v>
      </c>
      <c r="H13" s="3">
        <f t="shared" ca="1" si="0"/>
        <v>1.9093419674316686E-2</v>
      </c>
      <c r="I13" s="3">
        <f t="shared" ca="1" si="0"/>
        <v>1.2639229243683334E-2</v>
      </c>
      <c r="K13" s="3">
        <f t="shared" ca="1" si="1"/>
        <v>3.3359660438289952E-2</v>
      </c>
      <c r="L13" s="3">
        <f t="shared" ca="1" si="2"/>
        <v>6.4541904306333522E-3</v>
      </c>
    </row>
    <row r="14" spans="2:12" x14ac:dyDescent="0.2">
      <c r="B14" vm="20">
        <f ca="1"/>
        <v>44378</v>
      </c>
      <c r="C14" vm="309">
        <f ca="1"/>
        <v>429.72</v>
      </c>
      <c r="D14" vm="22">
        <f ca="1"/>
        <v>438.51</v>
      </c>
      <c r="E14" vm="23">
        <f ca="1"/>
        <v>103.67189999999999</v>
      </c>
      <c r="G14" s="3">
        <f t="shared" ca="1" si="0"/>
        <v>8.6056562286754137E-2</v>
      </c>
      <c r="H14" s="3">
        <f t="shared" ca="1" si="0"/>
        <v>2.4412465542213681E-2</v>
      </c>
      <c r="I14" s="3">
        <f t="shared" ca="1" si="0"/>
        <v>2.2341807165826896E-2</v>
      </c>
      <c r="K14" s="3">
        <f t="shared" ca="1" si="1"/>
        <v>6.3714755120927238E-2</v>
      </c>
      <c r="L14" s="3">
        <f t="shared" ca="1" si="2"/>
        <v>2.0706583763867858E-3</v>
      </c>
    </row>
    <row r="15" spans="2:12" x14ac:dyDescent="0.2">
      <c r="B15" vm="24">
        <f ca="1"/>
        <v>44409</v>
      </c>
      <c r="C15" vm="310">
        <f ca="1"/>
        <v>455.49</v>
      </c>
      <c r="D15" vm="25">
        <f ca="1"/>
        <v>451.56</v>
      </c>
      <c r="E15" vm="26">
        <f ca="1"/>
        <v>99.406300000000002</v>
      </c>
      <c r="G15" s="3">
        <f t="shared" ca="1" si="0"/>
        <v>5.9969282323373313E-2</v>
      </c>
      <c r="H15" s="3">
        <f t="shared" ca="1" si="0"/>
        <v>2.9759868646097035E-2</v>
      </c>
      <c r="I15" s="3">
        <f t="shared" ca="1" si="0"/>
        <v>-4.1145189776593198E-2</v>
      </c>
      <c r="K15" s="3">
        <f t="shared" ca="1" si="1"/>
        <v>0.10111447209996652</v>
      </c>
      <c r="L15" s="3">
        <f t="shared" ca="1" si="2"/>
        <v>7.0905058422690237E-2</v>
      </c>
    </row>
    <row r="16" spans="2:12" x14ac:dyDescent="0.2">
      <c r="B16" vm="27">
        <f ca="1"/>
        <v>44440</v>
      </c>
      <c r="C16" vm="311">
        <f ca="1"/>
        <v>449.35</v>
      </c>
      <c r="D16" vm="29">
        <f ca="1"/>
        <v>429.14</v>
      </c>
      <c r="E16" vm="30">
        <f ca="1"/>
        <v>97.703100000000006</v>
      </c>
      <c r="G16" s="3">
        <f t="shared" ca="1" si="0"/>
        <v>-1.3479988583722994E-2</v>
      </c>
      <c r="H16" s="3">
        <f t="shared" ca="1" si="0"/>
        <v>-4.9650101869076126E-2</v>
      </c>
      <c r="I16" s="3">
        <f t="shared" ca="1" si="0"/>
        <v>-1.7133722912934041E-2</v>
      </c>
      <c r="K16" s="3">
        <f t="shared" ca="1" si="1"/>
        <v>3.6537343292110478E-3</v>
      </c>
      <c r="L16" s="3">
        <f t="shared" ca="1" si="2"/>
        <v>-3.2516378956142081E-2</v>
      </c>
    </row>
    <row r="17" spans="2:12" x14ac:dyDescent="0.2">
      <c r="B17" vm="31">
        <f ca="1"/>
        <v>44470</v>
      </c>
      <c r="C17" vm="312">
        <f ca="1"/>
        <v>491.54</v>
      </c>
      <c r="D17" vm="33">
        <f ca="1"/>
        <v>459.25</v>
      </c>
      <c r="E17" vm="34">
        <f ca="1"/>
        <v>97.078100000000006</v>
      </c>
      <c r="G17" s="3">
        <f t="shared" ca="1" si="0"/>
        <v>9.3891176143318114E-2</v>
      </c>
      <c r="H17" s="3">
        <f t="shared" ca="1" si="0"/>
        <v>7.0163582979913347E-2</v>
      </c>
      <c r="I17" s="3">
        <f t="shared" ca="1" si="0"/>
        <v>-6.3969311106812365E-3</v>
      </c>
      <c r="K17" s="3">
        <f t="shared" ca="1" si="1"/>
        <v>0.10028810725399935</v>
      </c>
      <c r="L17" s="3">
        <f t="shared" ca="1" si="2"/>
        <v>7.6560514090594584E-2</v>
      </c>
    </row>
    <row r="18" spans="2:12" x14ac:dyDescent="0.2">
      <c r="B18" vm="35">
        <f ca="1"/>
        <v>44501</v>
      </c>
      <c r="C18" vm="313">
        <f ca="1"/>
        <v>539.38</v>
      </c>
      <c r="D18" vm="37">
        <f ca="1"/>
        <v>455.56</v>
      </c>
      <c r="E18" vm="38">
        <f ca="1"/>
        <v>98.656300000000002</v>
      </c>
      <c r="G18" s="3">
        <f t="shared" ca="1" si="0"/>
        <v>9.7326768930300636E-2</v>
      </c>
      <c r="H18" s="3">
        <f t="shared" ca="1" si="0"/>
        <v>-8.0348394120849168E-3</v>
      </c>
      <c r="I18" s="3">
        <f t="shared" ca="1" si="0"/>
        <v>1.6257013682797618E-2</v>
      </c>
      <c r="K18" s="3">
        <f t="shared" ca="1" si="1"/>
        <v>8.1069755247503011E-2</v>
      </c>
      <c r="L18" s="3">
        <f t="shared" ca="1" si="2"/>
        <v>-2.4291853094882535E-2</v>
      </c>
    </row>
    <row r="19" spans="2:12" x14ac:dyDescent="0.2">
      <c r="B19" vm="39">
        <f ca="1"/>
        <v>44531</v>
      </c>
      <c r="C19" vm="314">
        <f ca="1"/>
        <v>567.70000000000005</v>
      </c>
      <c r="D19" vm="41">
        <f ca="1"/>
        <v>474.96</v>
      </c>
      <c r="E19" vm="42">
        <f ca="1"/>
        <v>98.75</v>
      </c>
      <c r="G19" s="3">
        <f t="shared" ca="1" si="0"/>
        <v>5.2504727650265211E-2</v>
      </c>
      <c r="H19" s="3">
        <f t="shared" ca="1" si="0"/>
        <v>4.2584950390727842E-2</v>
      </c>
      <c r="I19" s="3">
        <f t="shared" ca="1" si="0"/>
        <v>9.4976195134014081E-4</v>
      </c>
      <c r="K19" s="3">
        <f t="shared" ca="1" si="1"/>
        <v>5.1554965698925072E-2</v>
      </c>
      <c r="L19" s="3">
        <f t="shared" ca="1" si="2"/>
        <v>4.1635188439387703E-2</v>
      </c>
    </row>
    <row r="20" spans="2:12" x14ac:dyDescent="0.2">
      <c r="B20" vm="43">
        <f ca="1"/>
        <v>44562</v>
      </c>
      <c r="C20" vm="315">
        <f ca="1"/>
        <v>505.13</v>
      </c>
      <c r="D20" vm="45">
        <f ca="1"/>
        <v>449.91</v>
      </c>
      <c r="E20" vm="46">
        <f ca="1"/>
        <v>96.296899999999994</v>
      </c>
      <c r="G20" s="3">
        <f t="shared" ca="1" si="0"/>
        <v>-0.11021666373084384</v>
      </c>
      <c r="H20" s="3">
        <f t="shared" ca="1" si="0"/>
        <v>-5.2741283476503191E-2</v>
      </c>
      <c r="I20" s="3">
        <f t="shared" ca="1" si="0"/>
        <v>-2.4841518987341837E-2</v>
      </c>
      <c r="K20" s="3">
        <f t="shared" ca="1" si="1"/>
        <v>-8.5375144743501996E-2</v>
      </c>
      <c r="L20" s="3">
        <f t="shared" ca="1" si="2"/>
        <v>-2.7899764489161354E-2</v>
      </c>
    </row>
    <row r="21" spans="2:12" x14ac:dyDescent="0.2">
      <c r="B21" vm="47">
        <f ca="1"/>
        <v>44593</v>
      </c>
      <c r="C21" vm="316">
        <f ca="1"/>
        <v>519.25</v>
      </c>
      <c r="D21" vm="49">
        <f ca="1"/>
        <v>436.63</v>
      </c>
      <c r="E21" vm="50">
        <f ca="1"/>
        <v>99.75</v>
      </c>
      <c r="G21" s="3">
        <f t="shared" ca="1" si="0"/>
        <v>2.7953200166293834E-2</v>
      </c>
      <c r="H21" s="3">
        <f t="shared" ca="1" si="0"/>
        <v>-2.9517014514013978E-2</v>
      </c>
      <c r="I21" s="3">
        <f t="shared" ca="1" si="0"/>
        <v>3.5858890576955293E-2</v>
      </c>
      <c r="K21" s="3">
        <f t="shared" ca="1" si="1"/>
        <v>-7.9056904106614596E-3</v>
      </c>
      <c r="L21" s="3">
        <f t="shared" ca="1" si="2"/>
        <v>-6.5375905090969272E-2</v>
      </c>
    </row>
    <row r="22" spans="2:12" x14ac:dyDescent="0.2">
      <c r="B22" vm="51">
        <f ca="1"/>
        <v>44621</v>
      </c>
      <c r="C22" vm="317">
        <f ca="1"/>
        <v>575.85</v>
      </c>
      <c r="D22" vm="53">
        <f ca="1"/>
        <v>451.64</v>
      </c>
      <c r="E22" vm="54">
        <f ca="1"/>
        <v>95.8125</v>
      </c>
      <c r="G22" s="3">
        <f t="shared" ca="1" si="0"/>
        <v>0.1090033702455465</v>
      </c>
      <c r="H22" s="3">
        <f t="shared" ca="1" si="0"/>
        <v>3.4376932414172161E-2</v>
      </c>
      <c r="I22" s="3">
        <f t="shared" ca="1" si="0"/>
        <v>-3.9473684210526314E-2</v>
      </c>
      <c r="K22" s="3">
        <f t="shared" ca="1" si="1"/>
        <v>0.14847705445607282</v>
      </c>
      <c r="L22" s="3">
        <f t="shared" ca="1" si="2"/>
        <v>7.3850616624698467E-2</v>
      </c>
    </row>
    <row r="23" spans="2:12" x14ac:dyDescent="0.2">
      <c r="B23" vm="55">
        <f ca="1"/>
        <v>44652</v>
      </c>
      <c r="C23" vm="318">
        <f ca="1"/>
        <v>531.72</v>
      </c>
      <c r="D23" vm="57">
        <f ca="1"/>
        <v>412</v>
      </c>
      <c r="E23" vm="58">
        <f ca="1"/>
        <v>91.015600000000006</v>
      </c>
      <c r="G23" s="3">
        <f t="shared" ca="1" si="0"/>
        <v>-7.6634540244855415E-2</v>
      </c>
      <c r="H23" s="3">
        <f t="shared" ca="1" si="0"/>
        <v>-8.7769019573111298E-2</v>
      </c>
      <c r="I23" s="3">
        <f t="shared" ca="1" si="0"/>
        <v>-5.0065492498369148E-2</v>
      </c>
      <c r="K23" s="3">
        <f t="shared" ca="1" si="1"/>
        <v>-2.6569047746486267E-2</v>
      </c>
      <c r="L23" s="3">
        <f t="shared" ca="1" si="2"/>
        <v>-3.7703527074742151E-2</v>
      </c>
    </row>
    <row r="24" spans="2:12" x14ac:dyDescent="0.2">
      <c r="B24" vm="59">
        <f ca="1"/>
        <v>44682</v>
      </c>
      <c r="C24" vm="319">
        <f ca="1"/>
        <v>466.22</v>
      </c>
      <c r="D24" vm="61">
        <f ca="1"/>
        <v>412.93</v>
      </c>
      <c r="E24" vm="62">
        <f ca="1"/>
        <v>100.0938</v>
      </c>
      <c r="G24" s="3">
        <f t="shared" ca="1" si="0"/>
        <v>-0.12318513503347626</v>
      </c>
      <c r="H24" s="3">
        <f t="shared" ca="1" si="0"/>
        <v>2.2572815533980746E-3</v>
      </c>
      <c r="I24" s="3">
        <f t="shared" ca="1" si="0"/>
        <v>9.9743340702033445E-2</v>
      </c>
      <c r="K24" s="3">
        <f t="shared" ca="1" si="1"/>
        <v>-0.22292847573550972</v>
      </c>
      <c r="L24" s="3">
        <f t="shared" ca="1" si="2"/>
        <v>-9.7486059148635368E-2</v>
      </c>
    </row>
    <row r="25" spans="2:12" x14ac:dyDescent="0.2">
      <c r="B25" vm="63">
        <f ca="1"/>
        <v>44713</v>
      </c>
      <c r="C25" vm="320">
        <f ca="1"/>
        <v>479.28</v>
      </c>
      <c r="D25" vm="65">
        <f ca="1"/>
        <v>377.25</v>
      </c>
      <c r="E25" vm="66">
        <f ca="1"/>
        <v>98.796899999999994</v>
      </c>
      <c r="G25" s="3">
        <f t="shared" ca="1" si="0"/>
        <v>2.8012526275148952E-2</v>
      </c>
      <c r="H25" s="3">
        <f t="shared" ca="1" si="0"/>
        <v>-8.6406897052769244E-2</v>
      </c>
      <c r="I25" s="3">
        <f t="shared" ca="1" si="0"/>
        <v>-1.2956846478003712E-2</v>
      </c>
      <c r="K25" s="3">
        <f t="shared" ca="1" si="1"/>
        <v>4.0969372753152662E-2</v>
      </c>
      <c r="L25" s="3">
        <f t="shared" ca="1" si="2"/>
        <v>-7.345005057476553E-2</v>
      </c>
    </row>
    <row r="26" spans="2:12" x14ac:dyDescent="0.2">
      <c r="B26" vm="67">
        <f ca="1"/>
        <v>44743</v>
      </c>
      <c r="C26" vm="321">
        <f ca="1"/>
        <v>541.29999999999995</v>
      </c>
      <c r="D26" vm="69">
        <f ca="1"/>
        <v>411.99</v>
      </c>
      <c r="E26" vm="70">
        <f ca="1"/>
        <v>101.7813</v>
      </c>
      <c r="G26" s="3">
        <f t="shared" ca="1" si="0"/>
        <v>0.12940243698881654</v>
      </c>
      <c r="H26" s="3">
        <f t="shared" ca="1" si="0"/>
        <v>9.2087475149105397E-2</v>
      </c>
      <c r="I26" s="3">
        <f t="shared" ca="1" si="0"/>
        <v>3.0207425536631291E-2</v>
      </c>
      <c r="K26" s="3">
        <f t="shared" ca="1" si="1"/>
        <v>9.9195011452185247E-2</v>
      </c>
      <c r="L26" s="3">
        <f t="shared" ca="1" si="2"/>
        <v>6.1880049612474106E-2</v>
      </c>
    </row>
    <row r="27" spans="2:12" x14ac:dyDescent="0.2">
      <c r="B27" vm="71">
        <f ca="1"/>
        <v>44774</v>
      </c>
      <c r="C27" vm="322">
        <f ca="1"/>
        <v>522.1</v>
      </c>
      <c r="D27" vm="73">
        <f ca="1"/>
        <v>395.18</v>
      </c>
      <c r="E27" vm="74">
        <f ca="1"/>
        <v>96.234399999999994</v>
      </c>
      <c r="G27" s="3">
        <f t="shared" ca="1" si="0"/>
        <v>-3.5470164418991194E-2</v>
      </c>
      <c r="H27" s="3">
        <f t="shared" ca="1" si="0"/>
        <v>-4.0801961212650797E-2</v>
      </c>
      <c r="I27" s="3">
        <f t="shared" ca="1" si="0"/>
        <v>-5.4498223151011119E-2</v>
      </c>
      <c r="K27" s="3">
        <f t="shared" ca="1" si="1"/>
        <v>1.9028058732019924E-2</v>
      </c>
      <c r="L27" s="3">
        <f t="shared" ca="1" si="2"/>
        <v>1.3696261938360321E-2</v>
      </c>
    </row>
    <row r="28" spans="2:12" x14ac:dyDescent="0.2">
      <c r="B28" vm="75">
        <f ca="1"/>
        <v>44805</v>
      </c>
      <c r="C28" vm="323">
        <f ca="1"/>
        <v>472.27</v>
      </c>
      <c r="D28" vm="77">
        <f ca="1"/>
        <v>357.18</v>
      </c>
      <c r="E28" vm="78">
        <f ca="1"/>
        <v>91.203100000000006</v>
      </c>
      <c r="G28" s="3">
        <f t="shared" ca="1" si="0"/>
        <v>-9.5441486305305565E-2</v>
      </c>
      <c r="H28" s="3">
        <f t="shared" ca="1" si="0"/>
        <v>-9.615871248544966E-2</v>
      </c>
      <c r="I28" s="3">
        <f t="shared" ca="1" si="0"/>
        <v>-5.2281720465862394E-2</v>
      </c>
      <c r="K28" s="3">
        <f t="shared" ca="1" si="1"/>
        <v>-4.315976583944317E-2</v>
      </c>
      <c r="L28" s="3">
        <f t="shared" ca="1" si="2"/>
        <v>-4.3876992019587266E-2</v>
      </c>
    </row>
    <row r="29" spans="2:12" x14ac:dyDescent="0.2">
      <c r="B29" vm="79">
        <f ca="1"/>
        <v>44835</v>
      </c>
      <c r="C29" vm="324">
        <f ca="1"/>
        <v>501.5</v>
      </c>
      <c r="D29" vm="81">
        <f ca="1"/>
        <v>386.21</v>
      </c>
      <c r="E29" vm="82">
        <f ca="1"/>
        <v>89.531300000000002</v>
      </c>
      <c r="G29" s="3">
        <f t="shared" ca="1" si="0"/>
        <v>6.1892561458487767E-2</v>
      </c>
      <c r="H29" s="3">
        <f t="shared" ca="1" si="0"/>
        <v>8.1275547343076238E-2</v>
      </c>
      <c r="I29" s="3">
        <f t="shared" ca="1" si="0"/>
        <v>-1.8330517274083934E-2</v>
      </c>
      <c r="K29" s="3">
        <f t="shared" ca="1" si="1"/>
        <v>8.0223078732571701E-2</v>
      </c>
      <c r="L29" s="3">
        <f t="shared" ca="1" si="2"/>
        <v>9.9606064617160178E-2</v>
      </c>
    </row>
    <row r="30" spans="2:12" x14ac:dyDescent="0.2">
      <c r="B30" vm="83">
        <f ca="1"/>
        <v>44866</v>
      </c>
      <c r="C30" vm="325">
        <f ca="1"/>
        <v>539.25</v>
      </c>
      <c r="D30" vm="85">
        <f ca="1"/>
        <v>407.68</v>
      </c>
      <c r="E30" vm="86">
        <f ca="1"/>
        <v>103.1875</v>
      </c>
      <c r="G30" s="3">
        <f t="shared" ca="1" si="0"/>
        <v>7.5274177467597209E-2</v>
      </c>
      <c r="H30" s="3">
        <f t="shared" ca="1" si="0"/>
        <v>5.5591517568162475E-2</v>
      </c>
      <c r="I30" s="3">
        <f t="shared" ca="1" si="0"/>
        <v>0.15252989736550232</v>
      </c>
      <c r="K30" s="3">
        <f t="shared" ca="1" si="1"/>
        <v>-7.7255719897905112E-2</v>
      </c>
      <c r="L30" s="3">
        <f t="shared" ca="1" si="2"/>
        <v>-9.6938379797339852E-2</v>
      </c>
    </row>
    <row r="31" spans="2:12" x14ac:dyDescent="0.2">
      <c r="B31" vm="87">
        <f ca="1"/>
        <v>44896</v>
      </c>
      <c r="C31" vm="326">
        <f ca="1"/>
        <v>456.5</v>
      </c>
      <c r="D31" vm="89">
        <f ca="1"/>
        <v>382.43</v>
      </c>
      <c r="E31" vm="90">
        <f ca="1"/>
        <v>102</v>
      </c>
      <c r="G31" s="3">
        <f t="shared" ca="1" si="0"/>
        <v>-0.15345387111729253</v>
      </c>
      <c r="H31" s="3">
        <f t="shared" ca="1" si="0"/>
        <v>-6.1935832025117737E-2</v>
      </c>
      <c r="I31" s="3">
        <f t="shared" ca="1" si="0"/>
        <v>-1.1508176862507571E-2</v>
      </c>
      <c r="K31" s="3">
        <f t="shared" ca="1" si="1"/>
        <v>-0.14194569425478495</v>
      </c>
      <c r="L31" s="3">
        <f t="shared" ca="1" si="2"/>
        <v>-5.0427655162610163E-2</v>
      </c>
    </row>
    <row r="32" spans="2:12" x14ac:dyDescent="0.2">
      <c r="B32" vm="91">
        <f ca="1"/>
        <v>44927</v>
      </c>
      <c r="C32" vm="327">
        <f ca="1"/>
        <v>511.14</v>
      </c>
      <c r="D32" vm="93">
        <f ca="1"/>
        <v>406.48</v>
      </c>
      <c r="E32" vm="94">
        <f ca="1"/>
        <v>104.8438</v>
      </c>
      <c r="G32" s="3">
        <f t="shared" ca="1" si="0"/>
        <v>0.11969331872946327</v>
      </c>
      <c r="H32" s="3">
        <f t="shared" ca="1" si="0"/>
        <v>6.2887325785111026E-2</v>
      </c>
      <c r="I32" s="3">
        <f t="shared" ca="1" si="0"/>
        <v>2.7880392156862763E-2</v>
      </c>
      <c r="K32" s="3">
        <f t="shared" ca="1" si="1"/>
        <v>9.1812926572600512E-2</v>
      </c>
      <c r="L32" s="3">
        <f t="shared" ca="1" si="2"/>
        <v>3.5006933628248263E-2</v>
      </c>
    </row>
    <row r="33" spans="2:12" x14ac:dyDescent="0.2">
      <c r="B33" vm="95">
        <f ca="1"/>
        <v>44958</v>
      </c>
      <c r="C33" vm="328">
        <f ca="1"/>
        <v>484.18</v>
      </c>
      <c r="D33" vm="97">
        <f ca="1"/>
        <v>396.26</v>
      </c>
      <c r="E33" vm="98">
        <f ca="1"/>
        <v>96.531300000000002</v>
      </c>
      <c r="G33" s="3">
        <f t="shared" ca="1" si="0"/>
        <v>-5.2744844856595023E-2</v>
      </c>
      <c r="H33" s="3">
        <f t="shared" ca="1" si="0"/>
        <v>-2.5142688447156138E-2</v>
      </c>
      <c r="I33" s="3">
        <f t="shared" ca="1" si="0"/>
        <v>-7.9284611965609791E-2</v>
      </c>
      <c r="K33" s="3">
        <f t="shared" ca="1" si="1"/>
        <v>2.6539767109014768E-2</v>
      </c>
      <c r="L33" s="3">
        <f t="shared" ca="1" si="2"/>
        <v>5.414192351845365E-2</v>
      </c>
    </row>
    <row r="34" spans="2:12" x14ac:dyDescent="0.2">
      <c r="B34" vm="99">
        <f ca="1"/>
        <v>44986</v>
      </c>
      <c r="C34" vm="329">
        <f ca="1"/>
        <v>496.87</v>
      </c>
      <c r="D34" vm="101">
        <f ca="1"/>
        <v>409.39</v>
      </c>
      <c r="E34" vm="102">
        <f ca="1"/>
        <v>100.2188</v>
      </c>
      <c r="G34" s="3">
        <f t="shared" ca="1" si="0"/>
        <v>2.6209261018629429E-2</v>
      </c>
      <c r="H34" s="3">
        <f t="shared" ca="1" si="0"/>
        <v>3.3134810477968998E-2</v>
      </c>
      <c r="I34" s="3">
        <f t="shared" ca="1" si="0"/>
        <v>3.8200044959510543E-2</v>
      </c>
      <c r="K34" s="3">
        <f t="shared" ca="1" si="1"/>
        <v>-1.1990783940881114E-2</v>
      </c>
      <c r="L34" s="3">
        <f t="shared" ca="1" si="2"/>
        <v>-5.0652344815415445E-3</v>
      </c>
    </row>
    <row r="35" spans="2:12" x14ac:dyDescent="0.2">
      <c r="B35" vm="103">
        <f ca="1"/>
        <v>45017</v>
      </c>
      <c r="C35" vm="330">
        <f ca="1"/>
        <v>503.22</v>
      </c>
      <c r="D35" vm="105">
        <f ca="1"/>
        <v>415.93</v>
      </c>
      <c r="E35" vm="106">
        <f ca="1"/>
        <v>100.42189999999999</v>
      </c>
      <c r="G35" s="3">
        <f t="shared" ca="1" si="0"/>
        <v>1.2780002817638463E-2</v>
      </c>
      <c r="H35" s="3">
        <f t="shared" ca="1" si="0"/>
        <v>1.5974987176042454E-2</v>
      </c>
      <c r="I35" s="3">
        <f t="shared" ca="1" si="0"/>
        <v>2.0265658738678975E-3</v>
      </c>
      <c r="K35" s="3">
        <f t="shared" ca="1" si="1"/>
        <v>1.0753436943770565E-2</v>
      </c>
      <c r="L35" s="3">
        <f t="shared" ca="1" si="2"/>
        <v>1.3948421302174557E-2</v>
      </c>
    </row>
    <row r="36" spans="2:12" x14ac:dyDescent="0.2">
      <c r="B36" vm="107">
        <f ca="1"/>
        <v>45047</v>
      </c>
      <c r="C36" vm="331">
        <f ca="1"/>
        <v>511.56</v>
      </c>
      <c r="D36" vm="109">
        <f ca="1"/>
        <v>417.85</v>
      </c>
      <c r="E36" vm="110">
        <f ca="1"/>
        <v>97.8125</v>
      </c>
      <c r="G36" s="3">
        <f t="shared" ca="1" si="0"/>
        <v>1.6573268153094022E-2</v>
      </c>
      <c r="H36" s="3">
        <f t="shared" ca="1" si="0"/>
        <v>4.6161613733080465E-3</v>
      </c>
      <c r="I36" s="3">
        <f t="shared" ca="1" si="0"/>
        <v>-2.5984371934806988E-2</v>
      </c>
      <c r="K36" s="3">
        <f t="shared" ca="1" si="1"/>
        <v>4.2557640087901014E-2</v>
      </c>
      <c r="L36" s="3">
        <f t="shared" ca="1" si="2"/>
        <v>3.0600533308115033E-2</v>
      </c>
    </row>
    <row r="37" spans="2:12" x14ac:dyDescent="0.2">
      <c r="B37" vm="111">
        <f ca="1"/>
        <v>45078</v>
      </c>
      <c r="C37" vm="332">
        <f ca="1"/>
        <v>538.38</v>
      </c>
      <c r="D37" vm="113">
        <f ca="1"/>
        <v>443.28</v>
      </c>
      <c r="E37" vm="114">
        <f ca="1"/>
        <v>96.203100000000006</v>
      </c>
      <c r="G37" s="3">
        <f t="shared" ca="1" si="0"/>
        <v>5.2427867698803643E-2</v>
      </c>
      <c r="H37" s="3">
        <f t="shared" ca="1" si="0"/>
        <v>6.0859159985640655E-2</v>
      </c>
      <c r="I37" s="3">
        <f t="shared" ca="1" si="0"/>
        <v>-1.645392971246E-2</v>
      </c>
      <c r="K37" s="3">
        <f t="shared" ca="1" si="1"/>
        <v>6.8881797411263643E-2</v>
      </c>
      <c r="L37" s="3">
        <f t="shared" ca="1" si="2"/>
        <v>7.7313089698100662E-2</v>
      </c>
    </row>
    <row r="38" spans="2:12" x14ac:dyDescent="0.2">
      <c r="B38" vm="115">
        <f ca="1"/>
        <v>45108</v>
      </c>
      <c r="C38" vm="333">
        <f ca="1"/>
        <v>560.66999999999996</v>
      </c>
      <c r="D38" vm="117">
        <f ca="1"/>
        <v>457.79</v>
      </c>
      <c r="E38" vm="118">
        <f ca="1"/>
        <v>95.25</v>
      </c>
      <c r="G38" s="3">
        <f t="shared" ca="1" si="0"/>
        <v>4.1401983728964607E-2</v>
      </c>
      <c r="H38" s="3">
        <f t="shared" ca="1" si="0"/>
        <v>3.273326114419791E-2</v>
      </c>
      <c r="I38" s="3">
        <f t="shared" ca="1" si="0"/>
        <v>-9.9071651537217219E-3</v>
      </c>
      <c r="K38" s="3">
        <f t="shared" ca="1" si="1"/>
        <v>5.1309148882686326E-2</v>
      </c>
      <c r="L38" s="3">
        <f t="shared" ca="1" si="2"/>
        <v>4.2640426297919629E-2</v>
      </c>
    </row>
    <row r="39" spans="2:12" x14ac:dyDescent="0.2">
      <c r="B39" vm="119">
        <f ca="1"/>
        <v>45139</v>
      </c>
      <c r="C39" vm="334">
        <f ca="1"/>
        <v>549.28</v>
      </c>
      <c r="D39" vm="121">
        <f ca="1"/>
        <v>450.35</v>
      </c>
      <c r="E39" vm="122">
        <f ca="1"/>
        <v>98.0625</v>
      </c>
      <c r="G39" s="3">
        <f t="shared" ca="1" si="0"/>
        <v>-2.0314980291437006E-2</v>
      </c>
      <c r="H39" s="3">
        <f t="shared" ca="1" si="0"/>
        <v>-1.6251993272024284E-2</v>
      </c>
      <c r="I39" s="3">
        <f t="shared" ca="1" si="0"/>
        <v>2.952755905511811E-2</v>
      </c>
      <c r="K39" s="3">
        <f t="shared" ca="1" si="1"/>
        <v>-4.9842539346555116E-2</v>
      </c>
      <c r="L39" s="3">
        <f t="shared" ca="1" si="2"/>
        <v>-4.5779552327142398E-2</v>
      </c>
    </row>
    <row r="40" spans="2:12" x14ac:dyDescent="0.2">
      <c r="B40" vm="123">
        <f ca="1"/>
        <v>45170</v>
      </c>
      <c r="C40" vm="335">
        <f ca="1"/>
        <v>564.96</v>
      </c>
      <c r="D40" vm="125">
        <f ca="1"/>
        <v>427.48</v>
      </c>
      <c r="E40" vm="126">
        <f ca="1"/>
        <v>94.453100000000006</v>
      </c>
      <c r="G40" s="3">
        <f t="shared" ca="1" si="0"/>
        <v>2.8546460821439093E-2</v>
      </c>
      <c r="H40" s="3">
        <f t="shared" ca="1" si="0"/>
        <v>-5.0782724547574119E-2</v>
      </c>
      <c r="I40" s="3">
        <f t="shared" ca="1" si="0"/>
        <v>-3.6807138304652584E-2</v>
      </c>
      <c r="K40" s="3">
        <f t="shared" ca="1" si="1"/>
        <v>6.5353599126091677E-2</v>
      </c>
      <c r="L40" s="3">
        <f t="shared" ca="1" si="2"/>
        <v>-1.3975586242921535E-2</v>
      </c>
    </row>
    <row r="41" spans="2:12" x14ac:dyDescent="0.2">
      <c r="B41" vm="127">
        <f ca="1"/>
        <v>45200</v>
      </c>
      <c r="C41" vm="336">
        <f ca="1"/>
        <v>552.44000000000005</v>
      </c>
      <c r="D41" vm="129">
        <f ca="1"/>
        <v>418.2</v>
      </c>
      <c r="E41" vm="130">
        <f ca="1"/>
        <v>91.890600000000006</v>
      </c>
      <c r="G41" s="3">
        <f t="shared" ca="1" si="0"/>
        <v>-2.2160860945907641E-2</v>
      </c>
      <c r="H41" s="3">
        <f t="shared" ca="1" si="0"/>
        <v>-2.1708617947038527E-2</v>
      </c>
      <c r="I41" s="3">
        <f t="shared" ca="1" si="0"/>
        <v>-2.7129866568699174E-2</v>
      </c>
      <c r="K41" s="3">
        <f t="shared" ca="1" si="1"/>
        <v>4.9690056227915322E-3</v>
      </c>
      <c r="L41" s="3">
        <f t="shared" ca="1" si="2"/>
        <v>5.4212486216606466E-3</v>
      </c>
    </row>
    <row r="42" spans="2:12" x14ac:dyDescent="0.2">
      <c r="B42" vm="131">
        <f ca="1"/>
        <v>45231</v>
      </c>
      <c r="C42" vm="337">
        <f ca="1"/>
        <v>592.74</v>
      </c>
      <c r="D42" vm="133">
        <f ca="1"/>
        <v>456.4</v>
      </c>
      <c r="E42" vm="134">
        <f ca="1"/>
        <v>102.01560000000001</v>
      </c>
      <c r="G42" s="3">
        <f t="shared" ca="1" si="0"/>
        <v>7.2949098544638241E-2</v>
      </c>
      <c r="H42" s="3">
        <f t="shared" ca="1" si="0"/>
        <v>9.134385461501672E-2</v>
      </c>
      <c r="I42" s="3">
        <f t="shared" ca="1" si="0"/>
        <v>0.11018537260612075</v>
      </c>
      <c r="K42" s="3">
        <f t="shared" ca="1" si="1"/>
        <v>-3.7236274061482513E-2</v>
      </c>
      <c r="L42" s="3">
        <f t="shared" ca="1" si="2"/>
        <v>-1.8841517991104034E-2</v>
      </c>
    </row>
    <row r="43" spans="2:12" x14ac:dyDescent="0.2">
      <c r="B43" vm="135">
        <f ca="1"/>
        <v>45261</v>
      </c>
      <c r="C43" vm="338">
        <f ca="1"/>
        <v>660.08</v>
      </c>
      <c r="D43" vm="137">
        <f ca="1"/>
        <v>475.31</v>
      </c>
      <c r="E43" vm="138">
        <f ca="1"/>
        <v>105.1563</v>
      </c>
      <c r="G43" s="3">
        <f t="shared" ca="1" si="0"/>
        <v>0.11360799001248445</v>
      </c>
      <c r="H43" s="3">
        <f t="shared" ca="1" si="0"/>
        <v>4.1432953549518023E-2</v>
      </c>
      <c r="I43" s="3">
        <f t="shared" ca="1" si="0"/>
        <v>3.0786467951960241E-2</v>
      </c>
      <c r="K43" s="3">
        <f t="shared" ca="1" si="1"/>
        <v>8.2821522060524205E-2</v>
      </c>
      <c r="L43" s="3">
        <f t="shared" ca="1" si="2"/>
        <v>1.0646485597557782E-2</v>
      </c>
    </row>
    <row r="44" spans="2:12" x14ac:dyDescent="0.2">
      <c r="B44" vm="139">
        <f ca="1"/>
        <v>45292</v>
      </c>
      <c r="C44" vm="339">
        <f ca="1"/>
        <v>694.88</v>
      </c>
      <c r="D44" vm="141">
        <f ca="1"/>
        <v>482.88</v>
      </c>
      <c r="E44" vm="142">
        <f ca="1"/>
        <v>103.6875</v>
      </c>
      <c r="G44" s="3">
        <f t="shared" ca="1" si="0"/>
        <v>5.2720882317294798E-2</v>
      </c>
      <c r="H44" s="3">
        <f t="shared" ca="1" si="0"/>
        <v>1.5926448002356344E-2</v>
      </c>
      <c r="I44" s="3">
        <f t="shared" ca="1" si="0"/>
        <v>-1.3967779391249041E-2</v>
      </c>
      <c r="K44" s="3">
        <f t="shared" ca="1" si="1"/>
        <v>6.6688661708543845E-2</v>
      </c>
      <c r="L44" s="3">
        <f t="shared" ca="1" si="2"/>
        <v>2.9894227393605387E-2</v>
      </c>
    </row>
    <row r="45" spans="2:12" x14ac:dyDescent="0.2">
      <c r="B45" vm="143">
        <f ca="1"/>
        <v>45323</v>
      </c>
      <c r="C45" vm="340">
        <f ca="1"/>
        <v>743.89</v>
      </c>
      <c r="D45" vm="145">
        <f ca="1"/>
        <v>508.08</v>
      </c>
      <c r="E45" vm="146">
        <f ca="1"/>
        <v>97.875</v>
      </c>
      <c r="G45" s="3">
        <f t="shared" ca="1" si="0"/>
        <v>7.0530163481464417E-2</v>
      </c>
      <c r="H45" s="3">
        <f t="shared" ca="1" si="0"/>
        <v>5.2186878727634174E-2</v>
      </c>
      <c r="I45" s="3">
        <f t="shared" ca="1" si="0"/>
        <v>-5.6057866184448461E-2</v>
      </c>
      <c r="K45" s="3">
        <f t="shared" ca="1" si="1"/>
        <v>0.12658802966591287</v>
      </c>
      <c r="L45" s="3">
        <f t="shared" ca="1" si="2"/>
        <v>0.10824474491208264</v>
      </c>
    </row>
    <row r="46" spans="2:12" x14ac:dyDescent="0.2">
      <c r="B46" vm="147">
        <f ca="1"/>
        <v>45352</v>
      </c>
      <c r="C46" vm="341">
        <f ca="1"/>
        <v>732.63</v>
      </c>
      <c r="D46" vm="149">
        <f ca="1"/>
        <v>523.07000000000005</v>
      </c>
      <c r="E46" vm="150">
        <f ca="1"/>
        <v>98.468800000000002</v>
      </c>
      <c r="G46" s="3">
        <f t="shared" ca="1" si="0"/>
        <v>-1.5136646547204547E-2</v>
      </c>
      <c r="H46" s="3">
        <f t="shared" ca="1" si="0"/>
        <v>2.9503227838135856E-2</v>
      </c>
      <c r="I46" s="3">
        <f t="shared" ca="1" si="0"/>
        <v>6.0669220945083185E-3</v>
      </c>
      <c r="K46" s="3">
        <f t="shared" ca="1" si="1"/>
        <v>-2.1203568641712866E-2</v>
      </c>
      <c r="L46" s="3">
        <f t="shared" ca="1" si="2"/>
        <v>2.3436305743627539E-2</v>
      </c>
    </row>
    <row r="47" spans="2:12" x14ac:dyDescent="0.2">
      <c r="B47" vm="151">
        <f ca="1"/>
        <v>45383</v>
      </c>
      <c r="C47" vm="342">
        <f ca="1"/>
        <v>722.9</v>
      </c>
      <c r="D47" vm="153">
        <f ca="1"/>
        <v>501.98</v>
      </c>
      <c r="E47" vm="154">
        <f ca="1"/>
        <v>94.6875</v>
      </c>
      <c r="G47" s="3">
        <f t="shared" ca="1" si="0"/>
        <v>-1.3280919427268905E-2</v>
      </c>
      <c r="H47" s="3">
        <f t="shared" ca="1" si="0"/>
        <v>-4.031965128950242E-2</v>
      </c>
      <c r="I47" s="3">
        <f t="shared" ca="1" si="0"/>
        <v>-3.8400996051541215E-2</v>
      </c>
      <c r="K47" s="3">
        <f t="shared" ca="1" si="1"/>
        <v>2.5120076624272313E-2</v>
      </c>
      <c r="L47" s="3">
        <f t="shared" ca="1" si="2"/>
        <v>-1.9186552379612046E-3</v>
      </c>
    </row>
    <row r="48" spans="2:12" x14ac:dyDescent="0.2">
      <c r="B48" vm="155">
        <f ca="1"/>
        <v>45413</v>
      </c>
      <c r="C48" vm="343">
        <f ca="1"/>
        <v>809.89</v>
      </c>
      <c r="D48" vm="157">
        <f ca="1"/>
        <v>527.37</v>
      </c>
      <c r="E48" vm="158">
        <f ca="1"/>
        <v>98.984399999999994</v>
      </c>
      <c r="G48" s="3">
        <f t="shared" ca="1" si="0"/>
        <v>0.12033476276110114</v>
      </c>
      <c r="H48" s="3">
        <f t="shared" ca="1" si="0"/>
        <v>5.0579704370692029E-2</v>
      </c>
      <c r="I48" s="3">
        <f t="shared" ca="1" si="0"/>
        <v>4.5379801980197955E-2</v>
      </c>
      <c r="K48" s="3">
        <f t="shared" ca="1" si="1"/>
        <v>7.495496078090319E-2</v>
      </c>
      <c r="L48" s="3">
        <f t="shared" ca="1" si="2"/>
        <v>5.1999023904940739E-3</v>
      </c>
    </row>
    <row r="49" spans="2:12" x14ac:dyDescent="0.2">
      <c r="B49" vm="159">
        <f ca="1"/>
        <v>45444</v>
      </c>
      <c r="C49" vm="344">
        <f ca="1"/>
        <v>849.99</v>
      </c>
      <c r="D49" vm="161">
        <f ca="1"/>
        <v>544.22</v>
      </c>
      <c r="E49" vm="162">
        <f ca="1"/>
        <v>99.671899999999994</v>
      </c>
      <c r="G49" s="3">
        <f t="shared" ca="1" si="0"/>
        <v>4.9512896813147494E-2</v>
      </c>
      <c r="H49" s="3">
        <f t="shared" ca="1" si="0"/>
        <v>3.1951002142708199E-2</v>
      </c>
      <c r="I49" s="3">
        <f t="shared" ca="1" si="0"/>
        <v>6.9455388929972805E-3</v>
      </c>
      <c r="K49" s="3">
        <f t="shared" ca="1" si="1"/>
        <v>4.2567357920150213E-2</v>
      </c>
      <c r="L49" s="3">
        <f t="shared" ca="1" si="2"/>
        <v>2.5005463249710917E-2</v>
      </c>
    </row>
    <row r="50" spans="2:12" x14ac:dyDescent="0.2">
      <c r="B50" vm="163">
        <f ca="1"/>
        <v>45474</v>
      </c>
      <c r="C50" vm="345">
        <f ca="1"/>
        <v>822</v>
      </c>
      <c r="D50" vm="165">
        <f ca="1"/>
        <v>550.80999999999995</v>
      </c>
      <c r="E50" vm="166">
        <f ca="1"/>
        <v>102.5313</v>
      </c>
      <c r="G50" s="3">
        <f t="shared" ca="1" si="0"/>
        <v>-3.2929799174107939E-2</v>
      </c>
      <c r="H50" s="3">
        <f t="shared" ca="1" si="0"/>
        <v>1.210907353643732E-2</v>
      </c>
      <c r="I50" s="3">
        <f t="shared" ca="1" si="0"/>
        <v>2.8688125740554841E-2</v>
      </c>
      <c r="K50" s="3">
        <f t="shared" ca="1" si="1"/>
        <v>-6.1617924914662781E-2</v>
      </c>
      <c r="L50" s="3">
        <f t="shared" ca="1" si="2"/>
        <v>-1.6579052204117522E-2</v>
      </c>
    </row>
    <row r="51" spans="2:12" x14ac:dyDescent="0.2">
      <c r="B51" vm="167">
        <f ca="1"/>
        <v>45505</v>
      </c>
      <c r="C51" vm="346">
        <f ca="1"/>
        <v>892.38</v>
      </c>
      <c r="D51" vm="169">
        <f ca="1"/>
        <v>563.67999999999995</v>
      </c>
      <c r="E51" vm="170">
        <f ca="1"/>
        <v>99.718800000000002</v>
      </c>
      <c r="G51" s="3">
        <f t="shared" ca="1" si="0"/>
        <v>8.5620437956204373E-2</v>
      </c>
      <c r="H51" s="3">
        <f t="shared" ca="1" si="0"/>
        <v>2.3365588860042495E-2</v>
      </c>
      <c r="I51" s="3">
        <f t="shared" ca="1" si="0"/>
        <v>-2.7430648006998837E-2</v>
      </c>
      <c r="K51" s="3">
        <f t="shared" ca="1" si="1"/>
        <v>0.11305108596320321</v>
      </c>
      <c r="L51" s="3">
        <f t="shared" ca="1" si="2"/>
        <v>5.0796236867041336E-2</v>
      </c>
    </row>
    <row r="52" spans="2:12" x14ac:dyDescent="0.2">
      <c r="B52" vm="171">
        <f ca="1"/>
        <v>45536</v>
      </c>
      <c r="C52" vm="347">
        <f ca="1"/>
        <v>886.52</v>
      </c>
      <c r="D52" vm="173">
        <f ca="1"/>
        <v>573.76</v>
      </c>
      <c r="E52" vm="174">
        <f ca="1"/>
        <v>100.79689999999999</v>
      </c>
      <c r="G52" s="3">
        <f t="shared" ca="1" si="0"/>
        <v>-6.5667092494229072E-3</v>
      </c>
      <c r="H52" s="3">
        <f t="shared" ca="1" si="0"/>
        <v>1.7882486517172939E-2</v>
      </c>
      <c r="I52" s="3">
        <f t="shared" ca="1" si="0"/>
        <v>1.081140166147198E-2</v>
      </c>
      <c r="K52" s="3">
        <f t="shared" ca="1" si="1"/>
        <v>-1.7378110910894886E-2</v>
      </c>
      <c r="L52" s="3">
        <f t="shared" ca="1" si="2"/>
        <v>7.0710848557009598E-3</v>
      </c>
    </row>
    <row r="53" spans="2:12" x14ac:dyDescent="0.2">
      <c r="B53" vm="175">
        <f ca="1"/>
        <v>45566</v>
      </c>
      <c r="C53" vm="348">
        <f ca="1"/>
        <v>874.18</v>
      </c>
      <c r="D53" vm="177">
        <f ca="1"/>
        <v>568.64</v>
      </c>
      <c r="E53" vm="178">
        <f ca="1"/>
        <v>96.718800000000002</v>
      </c>
      <c r="G53" s="3">
        <f t="shared" ca="1" si="0"/>
        <v>-1.3919595722600767E-2</v>
      </c>
      <c r="H53" s="3">
        <f t="shared" ca="1" si="0"/>
        <v>-8.9235917456776427E-3</v>
      </c>
      <c r="I53" s="3">
        <f t="shared" ca="1" si="0"/>
        <v>-4.0458585531896241E-2</v>
      </c>
      <c r="K53" s="3">
        <f t="shared" ca="1" si="1"/>
        <v>2.6538989809295473E-2</v>
      </c>
      <c r="L53" s="3">
        <f t="shared" ca="1" si="2"/>
        <v>3.1534993786218601E-2</v>
      </c>
    </row>
    <row r="54" spans="2:12" x14ac:dyDescent="0.2">
      <c r="B54" vm="179">
        <f ca="1"/>
        <v>45597</v>
      </c>
      <c r="C54" vm="349">
        <f ca="1"/>
        <v>971.88</v>
      </c>
      <c r="D54" vm="181">
        <f ca="1"/>
        <v>602.54999999999995</v>
      </c>
      <c r="E54" vm="182">
        <f ca="1"/>
        <v>100.57810000000001</v>
      </c>
      <c r="G54" s="3">
        <f t="shared" ca="1" si="0"/>
        <v>0.11176187970440876</v>
      </c>
      <c r="H54" s="3">
        <f t="shared" ca="1" si="0"/>
        <v>5.9633511536297076E-2</v>
      </c>
      <c r="I54" s="3">
        <f t="shared" ca="1" si="0"/>
        <v>3.990227339462446E-2</v>
      </c>
      <c r="K54" s="3">
        <f t="shared" ca="1" si="1"/>
        <v>7.1859606309784302E-2</v>
      </c>
      <c r="L54" s="3">
        <f t="shared" ca="1" si="2"/>
        <v>1.9731238141672616E-2</v>
      </c>
    </row>
    <row r="55" spans="2:12" x14ac:dyDescent="0.2">
      <c r="B55" vm="183">
        <f ca="1"/>
        <v>45627</v>
      </c>
      <c r="C55" vm="350">
        <f ca="1"/>
        <v>916.27</v>
      </c>
      <c r="D55" vm="185">
        <f ca="1"/>
        <v>586.08000000000004</v>
      </c>
      <c r="E55" vm="186">
        <f ca="1"/>
        <v>97.453100000000006</v>
      </c>
      <c r="G55" s="3">
        <f t="shared" ca="1" si="0"/>
        <v>-5.72189982302342E-2</v>
      </c>
      <c r="H55" s="3">
        <f t="shared" ca="1" si="0"/>
        <v>-2.7333831217326222E-2</v>
      </c>
      <c r="I55" s="3">
        <f t="shared" ca="1" si="0"/>
        <v>-3.1070382120958737E-2</v>
      </c>
      <c r="K55" s="3">
        <f t="shared" ca="1" si="1"/>
        <v>-2.6148616109275463E-2</v>
      </c>
      <c r="L55" s="3">
        <f t="shared" ca="1" si="2"/>
        <v>3.7365509036325142E-3</v>
      </c>
    </row>
    <row r="56" spans="2:12" x14ac:dyDescent="0.2">
      <c r="B56" vm="187">
        <f ca="1"/>
        <v>45658</v>
      </c>
      <c r="C56" vm="351">
        <f ca="1"/>
        <v>979.88</v>
      </c>
      <c r="D56" vm="189">
        <f ca="1"/>
        <v>601.82000000000005</v>
      </c>
      <c r="E56" vm="30">
        <f ca="1"/>
        <v>97.703100000000006</v>
      </c>
      <c r="G56" s="3">
        <f t="shared" ca="1" si="0"/>
        <v>6.9422768397961312E-2</v>
      </c>
      <c r="H56" s="3">
        <f t="shared" ca="1" si="0"/>
        <v>2.6856401856401872E-2</v>
      </c>
      <c r="I56" s="3">
        <f t="shared" ca="1" si="0"/>
        <v>2.5653365567642281E-3</v>
      </c>
      <c r="K56" s="3">
        <f t="shared" ca="1" si="1"/>
        <v>6.6857431841197079E-2</v>
      </c>
      <c r="L56" s="3">
        <f t="shared" ca="1" si="2"/>
        <v>2.4291065299637642E-2</v>
      </c>
    </row>
    <row r="57" spans="2:12" x14ac:dyDescent="0.2">
      <c r="B57" vm="190">
        <f ca="1"/>
        <v>45689</v>
      </c>
      <c r="C57" vm="352">
        <f ca="1"/>
        <v>1048.6099999999999</v>
      </c>
      <c r="D57" vm="192">
        <f ca="1"/>
        <v>594.17999999999995</v>
      </c>
      <c r="E57" vm="193">
        <f ca="1"/>
        <v>103.4063</v>
      </c>
      <c r="G57" s="3">
        <f t="shared" ca="1" si="0"/>
        <v>7.0141241784708236E-2</v>
      </c>
      <c r="H57" s="3">
        <f t="shared" ca="1" si="0"/>
        <v>-1.2694825695390814E-2</v>
      </c>
      <c r="I57" s="3">
        <f t="shared" ca="1" si="0"/>
        <v>5.8372764016699524E-2</v>
      </c>
      <c r="K57" s="3">
        <f t="shared" ca="1" si="1"/>
        <v>1.1768477768008712E-2</v>
      </c>
      <c r="L57" s="3">
        <f t="shared" ca="1" si="2"/>
        <v>-7.1067589712090345E-2</v>
      </c>
    </row>
    <row r="58" spans="2:12" x14ac:dyDescent="0.2">
      <c r="B58" vm="194">
        <f ca="1"/>
        <v>45717</v>
      </c>
      <c r="C58" vm="353">
        <f ca="1"/>
        <v>945.78</v>
      </c>
      <c r="D58" vm="195">
        <f ca="1"/>
        <v>559.39</v>
      </c>
      <c r="E58" vm="196">
        <f ca="1"/>
        <v>103.32810000000001</v>
      </c>
      <c r="G58" s="3">
        <f t="shared" ca="1" si="0"/>
        <v>-9.8063150265589621E-2</v>
      </c>
      <c r="H58" s="3">
        <f t="shared" ca="1" si="0"/>
        <v>-5.8551280756673006E-2</v>
      </c>
      <c r="I58" s="3">
        <f t="shared" ca="1" si="0"/>
        <v>-7.5624019039454446E-4</v>
      </c>
      <c r="K58" s="3">
        <f t="shared" ca="1" si="1"/>
        <v>-9.7306910075195083E-2</v>
      </c>
      <c r="L58" s="3">
        <f t="shared" ca="1" si="2"/>
        <v>-5.7795040566278461E-2</v>
      </c>
    </row>
    <row r="59" spans="2:12" x14ac:dyDescent="0.2">
      <c r="B59" vm="197">
        <f ca="1"/>
        <v>45748</v>
      </c>
      <c r="C59" vm="354">
        <f ca="1"/>
        <v>994.5</v>
      </c>
      <c r="D59" vm="199">
        <f ca="1"/>
        <v>554.54</v>
      </c>
      <c r="E59" vm="200">
        <f ca="1"/>
        <v>103.5313</v>
      </c>
      <c r="G59" s="3">
        <f t="shared" ca="1" si="0"/>
        <v>5.151303685846606E-2</v>
      </c>
      <c r="H59" s="3">
        <f t="shared" ca="1" si="0"/>
        <v>-8.6701585655804044E-3</v>
      </c>
      <c r="I59" s="3">
        <f t="shared" ca="1" si="0"/>
        <v>1.9665512092063571E-3</v>
      </c>
      <c r="K59" s="3">
        <f t="shared" ca="1" si="1"/>
        <v>4.9546485649259703E-2</v>
      </c>
      <c r="L59" s="3">
        <f t="shared" ca="1" si="2"/>
        <v>-1.0636709774786762E-2</v>
      </c>
    </row>
    <row r="60" spans="2:12" x14ac:dyDescent="0.2">
      <c r="B60" vm="201">
        <f ca="1"/>
        <v>45778</v>
      </c>
      <c r="C60" vm="355">
        <f ca="1"/>
        <v>1040.18</v>
      </c>
      <c r="D60" vm="203">
        <f ca="1"/>
        <v>589.39</v>
      </c>
      <c r="E60" vm="204">
        <f ca="1"/>
        <v>98.8125</v>
      </c>
      <c r="G60" s="3">
        <f t="shared" ca="1" si="0"/>
        <v>4.593262946204129E-2</v>
      </c>
      <c r="H60" s="3">
        <f t="shared" ca="1" si="0"/>
        <v>6.284488044144701E-2</v>
      </c>
      <c r="I60" s="3">
        <f t="shared" ca="1" si="0"/>
        <v>-4.5578486892369763E-2</v>
      </c>
      <c r="K60" s="3">
        <f t="shared" ca="1" si="1"/>
        <v>9.151111635441106E-2</v>
      </c>
      <c r="L60" s="3">
        <f t="shared" ca="1" si="2"/>
        <v>0.10842336733381677</v>
      </c>
    </row>
    <row r="61" spans="2:12" x14ac:dyDescent="0.2">
      <c r="B61" vm="205">
        <f ca="1"/>
        <v>45809</v>
      </c>
      <c r="C61" vm="356">
        <f ca="1"/>
        <v>989.94</v>
      </c>
      <c r="D61" vm="207">
        <f ca="1"/>
        <v>617.85</v>
      </c>
      <c r="E61" vm="15">
        <f ca="1"/>
        <v>100.14060000000001</v>
      </c>
      <c r="G61" s="3">
        <f t="shared" ca="1" si="0"/>
        <v>-4.8299332807783271E-2</v>
      </c>
      <c r="H61" s="3">
        <f t="shared" ca="1" si="0"/>
        <v>4.828721220244666E-2</v>
      </c>
      <c r="I61" s="3">
        <f t="shared" ca="1" si="0"/>
        <v>1.3440607210626249E-2</v>
      </c>
      <c r="K61" s="3">
        <f t="shared" ca="1" si="1"/>
        <v>-6.1739940018409517E-2</v>
      </c>
      <c r="L61" s="3">
        <f t="shared" ca="1" si="2"/>
        <v>3.4846604991820407E-2</v>
      </c>
    </row>
    <row r="62" spans="2:12" x14ac:dyDescent="0.2">
      <c r="B62" vm="208">
        <f ca="1"/>
        <v>45839</v>
      </c>
      <c r="C62" vm="357">
        <f ca="1"/>
        <v>939.64</v>
      </c>
      <c r="D62" vm="210">
        <f ca="1"/>
        <v>632.08000000000004</v>
      </c>
      <c r="E62" vm="211">
        <f ca="1"/>
        <v>98.953100000000006</v>
      </c>
      <c r="G62" s="3">
        <f t="shared" ca="1" si="0"/>
        <v>-5.0811160272339805E-2</v>
      </c>
      <c r="H62" s="3">
        <f t="shared" ca="1" si="0"/>
        <v>2.3031480132718326E-2</v>
      </c>
      <c r="I62" s="3">
        <f t="shared" ca="1" si="0"/>
        <v>-1.1858327191968093E-2</v>
      </c>
      <c r="K62" s="3">
        <f t="shared" ca="1" si="1"/>
        <v>-3.8952833080371715E-2</v>
      </c>
      <c r="L62" s="3">
        <f t="shared" ca="1" si="2"/>
        <v>3.4889807324686418E-2</v>
      </c>
    </row>
    <row r="63" spans="2:12" x14ac:dyDescent="0.2">
      <c r="B63" vm="212">
        <f ca="1"/>
        <v>45870</v>
      </c>
      <c r="C63" vm="358">
        <f ca="1"/>
        <v>943.32</v>
      </c>
      <c r="D63" vm="214">
        <f ca="1"/>
        <v>645.04999999999995</v>
      </c>
      <c r="E63" vm="15">
        <f ca="1"/>
        <v>100.14060000000001</v>
      </c>
      <c r="G63" s="3">
        <f t="shared" ca="1" si="0"/>
        <v>3.9163935124090759E-3</v>
      </c>
      <c r="H63" s="3">
        <f t="shared" ca="1" si="0"/>
        <v>2.051955448677369E-2</v>
      </c>
      <c r="I63" s="3">
        <f t="shared" ca="1" si="0"/>
        <v>1.2000634644088966E-2</v>
      </c>
      <c r="K63" s="3">
        <f t="shared" ca="1" si="1"/>
        <v>-8.0842411316798899E-3</v>
      </c>
      <c r="L63" s="3">
        <f t="shared" ca="1" si="2"/>
        <v>8.5189198426847239E-3</v>
      </c>
    </row>
    <row r="64" spans="2:12" x14ac:dyDescent="0.2">
      <c r="B64" vm="215">
        <f ca="1"/>
        <v>45901</v>
      </c>
      <c r="C64" vm="359">
        <f ca="1"/>
        <v>925.63</v>
      </c>
      <c r="D64" vm="217">
        <f ca="1"/>
        <v>666.18</v>
      </c>
      <c r="E64" vm="218">
        <f ca="1"/>
        <v>100.75</v>
      </c>
      <c r="G64" s="3">
        <f t="shared" ca="1" si="0"/>
        <v>-1.8752915235551091E-2</v>
      </c>
      <c r="H64" s="3">
        <f t="shared" ca="1" si="0"/>
        <v>3.275715060847996E-2</v>
      </c>
      <c r="I64" s="3">
        <f t="shared" ca="1" si="0"/>
        <v>6.085443865924447E-3</v>
      </c>
      <c r="K64" s="3">
        <f t="shared" ca="1" si="1"/>
        <v>-2.4838359101475537E-2</v>
      </c>
      <c r="L64" s="3">
        <f t="shared" ca="1" si="2"/>
        <v>2.6671706742555513E-2</v>
      </c>
    </row>
    <row r="65" spans="2:12" x14ac:dyDescent="0.2">
      <c r="B65" vm="219">
        <f ca="1"/>
        <v>45931</v>
      </c>
      <c r="C65" vm="360">
        <f ca="1"/>
        <v>911.45</v>
      </c>
      <c r="D65" vm="221">
        <f ca="1"/>
        <v>682.06</v>
      </c>
      <c r="E65" vm="222">
        <f ca="1"/>
        <v>101.32810000000001</v>
      </c>
      <c r="G65" s="3">
        <f t="shared" ca="1" si="0"/>
        <v>-1.5319296047016573E-2</v>
      </c>
      <c r="H65" s="3">
        <f t="shared" ca="1" si="0"/>
        <v>2.3837401302951148E-2</v>
      </c>
      <c r="I65" s="3">
        <f t="shared" ca="1" si="0"/>
        <v>5.7379652605459679E-3</v>
      </c>
      <c r="K65" s="3">
        <f t="shared" ca="1" si="1"/>
        <v>-2.1057261307562539E-2</v>
      </c>
      <c r="L65" s="3">
        <f t="shared" ca="1" si="2"/>
        <v>1.809943604240518E-2</v>
      </c>
    </row>
    <row r="66" spans="2:12" x14ac:dyDescent="0.2">
      <c r="B66" vm="223">
        <f ca="1"/>
        <v>45962</v>
      </c>
      <c r="C66" vm="361">
        <f ca="1"/>
        <v>913.59</v>
      </c>
      <c r="D66" vm="225">
        <f ca="1"/>
        <v>683.39</v>
      </c>
      <c r="E66" vm="226">
        <f ca="1"/>
        <v>99.859399999999994</v>
      </c>
      <c r="G66" s="3">
        <f t="shared" ca="1" si="0"/>
        <v>2.3479071808656386E-3</v>
      </c>
      <c r="H66" s="3">
        <f t="shared" ca="1" si="0"/>
        <v>1.9499750755066138E-3</v>
      </c>
      <c r="I66" s="3">
        <f t="shared" ca="1" si="0"/>
        <v>-1.4494498564564149E-2</v>
      </c>
      <c r="K66" s="3">
        <f t="shared" ca="1" si="1"/>
        <v>1.6842405745429789E-2</v>
      </c>
      <c r="L66" s="3">
        <f t="shared" ca="1" si="2"/>
        <v>1.6444473640070761E-2</v>
      </c>
    </row>
    <row r="67" spans="2:12" x14ac:dyDescent="0.2">
      <c r="B67" vm="227">
        <f ca="1"/>
        <v>45992</v>
      </c>
      <c r="C67" vm="362">
        <f ca="1"/>
        <v>862.34</v>
      </c>
      <c r="D67" vm="229">
        <f ca="1"/>
        <v>681.92</v>
      </c>
      <c r="E67" vm="230">
        <f ca="1"/>
        <v>98.6875</v>
      </c>
      <c r="G67" s="3">
        <f t="shared" ca="1" si="0"/>
        <v>-5.6097374095600866E-2</v>
      </c>
      <c r="H67" s="3">
        <f t="shared" ca="1" si="0"/>
        <v>-2.151041133174362E-3</v>
      </c>
      <c r="I67" s="3">
        <f t="shared" ca="1" si="0"/>
        <v>-1.1735500113159039E-2</v>
      </c>
      <c r="K67" s="3">
        <f t="shared" ca="1" si="1"/>
        <v>-4.4361873982441825E-2</v>
      </c>
      <c r="L67" s="3">
        <f t="shared" ca="1" si="2"/>
        <v>9.5844589799846773E-3</v>
      </c>
    </row>
    <row r="68" spans="2:12" x14ac:dyDescent="0.2">
      <c r="B68" vm="231">
        <f ca="1"/>
        <v>46023</v>
      </c>
      <c r="C68" vm="363">
        <f ca="1"/>
        <v>940.25</v>
      </c>
      <c r="D68" vm="233">
        <f ca="1"/>
        <v>691.97</v>
      </c>
      <c r="E68" vm="234">
        <f ca="1"/>
        <v>98.078100000000006</v>
      </c>
      <c r="G68" s="3">
        <f t="shared" ca="1" si="0"/>
        <v>9.0347194841941647E-2</v>
      </c>
      <c r="H68" s="3">
        <f t="shared" ca="1" si="0"/>
        <v>1.4737799155326239E-2</v>
      </c>
      <c r="I68" s="3">
        <f t="shared" ca="1" si="0"/>
        <v>-6.1750474984166555E-3</v>
      </c>
      <c r="K68" s="3">
        <f t="shared" ca="1" si="1"/>
        <v>9.6522242340358305E-2</v>
      </c>
      <c r="L68" s="3">
        <f t="shared" ca="1" si="2"/>
        <v>2.0912846653742895E-2</v>
      </c>
    </row>
    <row r="69" spans="2:12" x14ac:dyDescent="0.2">
      <c r="B69" vm="235">
        <f ca="1"/>
        <v>46054</v>
      </c>
      <c r="C69" vm="364">
        <f ca="1"/>
        <v>1010.79</v>
      </c>
      <c r="D69" vm="237">
        <f ca="1"/>
        <v>685.99</v>
      </c>
      <c r="E69" vm="238">
        <f ca="1"/>
        <v>101.4375</v>
      </c>
      <c r="G69" s="3">
        <f t="shared" ca="1" si="0"/>
        <v>7.5022600372241385E-2</v>
      </c>
      <c r="H69" s="3">
        <f t="shared" ca="1" si="0"/>
        <v>-8.6419931499920784E-3</v>
      </c>
      <c r="I69" s="3">
        <f t="shared" ca="1" si="0"/>
        <v>3.4252294854814617E-2</v>
      </c>
      <c r="K69" s="3">
        <f t="shared" ca="1" si="1"/>
        <v>4.0770305517426768E-2</v>
      </c>
      <c r="L69" s="3">
        <f t="shared" ca="1" si="2"/>
        <v>-4.2894288004806699E-2</v>
      </c>
    </row>
    <row r="70" spans="2:12" x14ac:dyDescent="0.2">
      <c r="B70" vm="239">
        <f ca="1"/>
        <v>46082</v>
      </c>
      <c r="C70" vm="365">
        <f ca="1"/>
        <v>1008.43</v>
      </c>
      <c r="D70" vm="241">
        <f ca="1"/>
        <v>662.29</v>
      </c>
      <c r="E70" vm="242">
        <f ca="1"/>
        <v>98.734399999999994</v>
      </c>
      <c r="G70" s="3">
        <f t="shared" ca="1" si="0"/>
        <v>-2.3348074278534748E-3</v>
      </c>
      <c r="H70" s="3">
        <f t="shared" ca="1" si="0"/>
        <v>-3.4548608580300073E-2</v>
      </c>
      <c r="I70" s="3">
        <f t="shared" ca="1" si="0"/>
        <v>-2.6647935921133764E-2</v>
      </c>
      <c r="K70" s="3">
        <f t="shared" ca="1" si="1"/>
        <v>2.4313128493280288E-2</v>
      </c>
      <c r="L70" s="3">
        <f t="shared" ca="1" si="2"/>
        <v>-7.9006726591663093E-3</v>
      </c>
    </row>
  </sheetData>
  <pageMargins left="0.7" right="0.7" top="0.75" bottom="0.75" header="0.3" footer="0.3"/>
  <pageSetup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B504B-6D09-4E71-B239-3F9105688E18}">
  <dimension ref="B2:L70"/>
  <sheetViews>
    <sheetView showGridLines="0" workbookViewId="0">
      <selection activeCell="B3" sqref="B3"/>
    </sheetView>
  </sheetViews>
  <sheetFormatPr baseColWidth="10" defaultColWidth="8.83203125" defaultRowHeight="15" x14ac:dyDescent="0.2"/>
  <cols>
    <col min="2" max="2" width="10.83203125" bestFit="1" customWidth="1"/>
    <col min="3" max="3" width="10.83203125" customWidth="1"/>
    <col min="4" max="4" width="12" bestFit="1" customWidth="1"/>
    <col min="5" max="5" width="10.5" bestFit="1" customWidth="1"/>
    <col min="11" max="11" width="10.5" customWidth="1"/>
  </cols>
  <sheetData>
    <row r="2" spans="2:12" x14ac:dyDescent="0.2">
      <c r="B2" t="e" vm="366">
        <v>#VALUE!</v>
      </c>
      <c r="G2" s="7" t="s">
        <v>238</v>
      </c>
      <c r="H2" s="7">
        <f ca="1">INDEX(LINEST(K11:K70,L11:L70,1,1),1,1)</f>
        <v>1.0757582425532266</v>
      </c>
    </row>
    <row r="3" spans="2:12" x14ac:dyDescent="0.2">
      <c r="B3" t="e" vm="3">
        <v>#VALUE!</v>
      </c>
      <c r="G3" s="7" t="s">
        <v>239</v>
      </c>
      <c r="H3" s="61">
        <f ca="1">INDEX(LINEST(K11:K70,L11:L70,1,1),2,1)</f>
        <v>0.13447305450241648</v>
      </c>
    </row>
    <row r="4" spans="2:12" x14ac:dyDescent="0.2">
      <c r="B4" t="e" vm="1">
        <v>#VALUE!</v>
      </c>
    </row>
    <row r="6" spans="2:12" x14ac:dyDescent="0.2">
      <c r="B6" s="50">
        <v>44256</v>
      </c>
      <c r="C6" s="50"/>
    </row>
    <row r="7" spans="2:12" x14ac:dyDescent="0.2">
      <c r="B7" s="50">
        <v>46082</v>
      </c>
      <c r="C7" s="50"/>
    </row>
    <row r="9" spans="2:12" x14ac:dyDescent="0.2">
      <c r="C9" t="s">
        <v>240</v>
      </c>
      <c r="D9" t="s">
        <v>241</v>
      </c>
      <c r="E9" t="s">
        <v>242</v>
      </c>
    </row>
    <row r="10" spans="2:12" x14ac:dyDescent="0.2">
      <c r="B10" cm="1" vm="4">
        <f t="array" aca="1" ref="B10:C70" ca="1">_xlfn.STOCKHISTORY(B2,$B$6,$B$7,2,0)</f>
        <v>44256</v>
      </c>
      <c r="C10" vm="367">
        <f ca="1"/>
        <v>235.77</v>
      </c>
      <c r="D10" cm="1" vm="6">
        <f t="array" aca="1" ref="D10:D70" ca="1">_xlfn.STOCKHISTORY(B3,$B$6,$B$7,2,0,1)</f>
        <v>396.33</v>
      </c>
      <c r="E10" cm="1" vm="7">
        <f t="array" aca="1" ref="E10:E70" ca="1">_xlfn.STOCKHISTORY(B4,$B$6,$B$7,2,0,1)</f>
        <v>94.484399999999994</v>
      </c>
      <c r="G10" t="s">
        <v>243</v>
      </c>
      <c r="H10" t="s">
        <v>244</v>
      </c>
      <c r="I10" t="s">
        <v>245</v>
      </c>
      <c r="K10" t="s">
        <v>246</v>
      </c>
      <c r="L10" t="s">
        <v>247</v>
      </c>
    </row>
    <row r="11" spans="2:12" x14ac:dyDescent="0.2">
      <c r="B11" vm="8">
        <f ca="1"/>
        <v>44287</v>
      </c>
      <c r="C11" vm="368">
        <f ca="1"/>
        <v>252.18</v>
      </c>
      <c r="D11" vm="10">
        <f ca="1"/>
        <v>417.3</v>
      </c>
      <c r="E11" vm="11">
        <f ca="1"/>
        <v>95.484399999999994</v>
      </c>
      <c r="G11" s="3">
        <f ca="1">(C11-C10)/C10</f>
        <v>6.9601730500063602E-2</v>
      </c>
      <c r="H11" s="3">
        <f ca="1">(D11-D10)/D10</f>
        <v>5.291045341003716E-2</v>
      </c>
      <c r="I11" s="3">
        <f ca="1">(E11-E10)/E10</f>
        <v>1.0583757742018789E-2</v>
      </c>
      <c r="K11" s="3">
        <f ca="1">G11-I11</f>
        <v>5.9017972758044809E-2</v>
      </c>
      <c r="L11" s="3">
        <f ca="1">H11-I11</f>
        <v>4.2326695668018374E-2</v>
      </c>
    </row>
    <row r="12" spans="2:12" x14ac:dyDescent="0.2">
      <c r="B12" vm="12">
        <f ca="1"/>
        <v>44317</v>
      </c>
      <c r="C12" vm="369">
        <f ca="1"/>
        <v>249.68</v>
      </c>
      <c r="D12" vm="14">
        <f ca="1"/>
        <v>420.04</v>
      </c>
      <c r="E12" vm="15">
        <f ca="1"/>
        <v>100.14060000000001</v>
      </c>
      <c r="G12" s="3">
        <f t="shared" ref="G12:I70" ca="1" si="0">(C12-C11)/C11</f>
        <v>-9.913553810770085E-3</v>
      </c>
      <c r="H12" s="3">
        <f t="shared" ca="1" si="0"/>
        <v>6.566019650131821E-3</v>
      </c>
      <c r="I12" s="3">
        <f t="shared" ca="1" si="0"/>
        <v>4.8763986577912338E-2</v>
      </c>
      <c r="K12" s="3">
        <f t="shared" ref="K12:K70" ca="1" si="1">G12-I12</f>
        <v>-5.867754038868242E-2</v>
      </c>
      <c r="L12" s="3">
        <f t="shared" ref="L12:L70" ca="1" si="2">H12-I12</f>
        <v>-4.2197966927780516E-2</v>
      </c>
    </row>
    <row r="13" spans="2:12" x14ac:dyDescent="0.2">
      <c r="B13" vm="16">
        <f ca="1"/>
        <v>44348</v>
      </c>
      <c r="C13" vm="370">
        <f ca="1"/>
        <v>270.89999999999998</v>
      </c>
      <c r="D13" vm="18">
        <f ca="1"/>
        <v>428.06</v>
      </c>
      <c r="E13" vm="19">
        <f ca="1"/>
        <v>101.4063</v>
      </c>
      <c r="G13" s="3">
        <f t="shared" ca="1" si="0"/>
        <v>8.4988785645626286E-2</v>
      </c>
      <c r="H13" s="3">
        <f t="shared" ca="1" si="0"/>
        <v>1.9093419674316686E-2</v>
      </c>
      <c r="I13" s="3">
        <f t="shared" ca="1" si="0"/>
        <v>1.2639229243683334E-2</v>
      </c>
      <c r="K13" s="3">
        <f t="shared" ca="1" si="1"/>
        <v>7.2349556401942947E-2</v>
      </c>
      <c r="L13" s="3">
        <f t="shared" ca="1" si="2"/>
        <v>6.4541904306333522E-3</v>
      </c>
    </row>
    <row r="14" spans="2:12" x14ac:dyDescent="0.2">
      <c r="B14" vm="20">
        <f ca="1"/>
        <v>44378</v>
      </c>
      <c r="C14" vm="371">
        <f ca="1"/>
        <v>284.91000000000003</v>
      </c>
      <c r="D14" vm="22">
        <f ca="1"/>
        <v>438.51</v>
      </c>
      <c r="E14" vm="23">
        <f ca="1"/>
        <v>103.67189999999999</v>
      </c>
      <c r="G14" s="3">
        <f t="shared" ca="1" si="0"/>
        <v>5.1716500553710035E-2</v>
      </c>
      <c r="H14" s="3">
        <f t="shared" ca="1" si="0"/>
        <v>2.4412465542213681E-2</v>
      </c>
      <c r="I14" s="3">
        <f t="shared" ca="1" si="0"/>
        <v>2.2341807165826896E-2</v>
      </c>
      <c r="K14" s="3">
        <f t="shared" ca="1" si="1"/>
        <v>2.9374693387883139E-2</v>
      </c>
      <c r="L14" s="3">
        <f t="shared" ca="1" si="2"/>
        <v>2.0706583763867858E-3</v>
      </c>
    </row>
    <row r="15" spans="2:12" x14ac:dyDescent="0.2">
      <c r="B15" vm="24">
        <f ca="1"/>
        <v>44409</v>
      </c>
      <c r="C15" vm="372">
        <f ca="1"/>
        <v>301.88</v>
      </c>
      <c r="D15" vm="25">
        <f ca="1"/>
        <v>451.56</v>
      </c>
      <c r="E15" vm="26">
        <f ca="1"/>
        <v>99.406300000000002</v>
      </c>
      <c r="G15" s="3">
        <f t="shared" ca="1" si="0"/>
        <v>5.9562668912989961E-2</v>
      </c>
      <c r="H15" s="3">
        <f t="shared" ca="1" si="0"/>
        <v>2.9759868646097035E-2</v>
      </c>
      <c r="I15" s="3">
        <f t="shared" ca="1" si="0"/>
        <v>-4.1145189776593198E-2</v>
      </c>
      <c r="K15" s="3">
        <f t="shared" ca="1" si="1"/>
        <v>0.10070785868958315</v>
      </c>
      <c r="L15" s="3">
        <f t="shared" ca="1" si="2"/>
        <v>7.0905058422690237E-2</v>
      </c>
    </row>
    <row r="16" spans="2:12" x14ac:dyDescent="0.2">
      <c r="B16" vm="27">
        <f ca="1"/>
        <v>44440</v>
      </c>
      <c r="C16" vm="373">
        <f ca="1"/>
        <v>281.92</v>
      </c>
      <c r="D16" vm="29">
        <f ca="1"/>
        <v>429.14</v>
      </c>
      <c r="E16" vm="30">
        <f ca="1"/>
        <v>97.703100000000006</v>
      </c>
      <c r="G16" s="3">
        <f t="shared" ca="1" si="0"/>
        <v>-6.6118987677222671E-2</v>
      </c>
      <c r="H16" s="3">
        <f t="shared" ca="1" si="0"/>
        <v>-4.9650101869076126E-2</v>
      </c>
      <c r="I16" s="3">
        <f t="shared" ca="1" si="0"/>
        <v>-1.7133722912934041E-2</v>
      </c>
      <c r="K16" s="3">
        <f t="shared" ca="1" si="1"/>
        <v>-4.8985264764288633E-2</v>
      </c>
      <c r="L16" s="3">
        <f t="shared" ca="1" si="2"/>
        <v>-3.2516378956142081E-2</v>
      </c>
    </row>
    <row r="17" spans="2:12" x14ac:dyDescent="0.2">
      <c r="B17" vm="31">
        <f ca="1"/>
        <v>44470</v>
      </c>
      <c r="C17" vm="374">
        <f ca="1"/>
        <v>331.62</v>
      </c>
      <c r="D17" vm="33">
        <f ca="1"/>
        <v>459.25</v>
      </c>
      <c r="E17" vm="34">
        <f ca="1"/>
        <v>97.078100000000006</v>
      </c>
      <c r="G17" s="3">
        <f t="shared" ca="1" si="0"/>
        <v>0.17629114642451754</v>
      </c>
      <c r="H17" s="3">
        <f t="shared" ca="1" si="0"/>
        <v>7.0163582979913347E-2</v>
      </c>
      <c r="I17" s="3">
        <f t="shared" ca="1" si="0"/>
        <v>-6.3969311106812365E-3</v>
      </c>
      <c r="K17" s="3">
        <f t="shared" ca="1" si="1"/>
        <v>0.18268807753519878</v>
      </c>
      <c r="L17" s="3">
        <f t="shared" ca="1" si="2"/>
        <v>7.6560514090594584E-2</v>
      </c>
    </row>
    <row r="18" spans="2:12" x14ac:dyDescent="0.2">
      <c r="B18" vm="35">
        <f ca="1"/>
        <v>44501</v>
      </c>
      <c r="C18" vm="375">
        <f ca="1"/>
        <v>330.59</v>
      </c>
      <c r="D18" vm="37">
        <f ca="1"/>
        <v>455.56</v>
      </c>
      <c r="E18" vm="38">
        <f ca="1"/>
        <v>98.656300000000002</v>
      </c>
      <c r="G18" s="3">
        <f t="shared" ca="1" si="0"/>
        <v>-3.1059646583439767E-3</v>
      </c>
      <c r="H18" s="3">
        <f t="shared" ca="1" si="0"/>
        <v>-8.0348394120849168E-3</v>
      </c>
      <c r="I18" s="3">
        <f t="shared" ca="1" si="0"/>
        <v>1.6257013682797618E-2</v>
      </c>
      <c r="K18" s="3">
        <f t="shared" ca="1" si="1"/>
        <v>-1.9362978341141594E-2</v>
      </c>
      <c r="L18" s="3">
        <f t="shared" ca="1" si="2"/>
        <v>-2.4291853094882535E-2</v>
      </c>
    </row>
    <row r="19" spans="2:12" x14ac:dyDescent="0.2">
      <c r="B19" vm="39">
        <f ca="1"/>
        <v>44531</v>
      </c>
      <c r="C19" vm="376">
        <f ca="1"/>
        <v>336.32</v>
      </c>
      <c r="D19" vm="41">
        <f ca="1"/>
        <v>474.96</v>
      </c>
      <c r="E19" vm="42">
        <f ca="1"/>
        <v>98.75</v>
      </c>
      <c r="G19" s="3">
        <f t="shared" ca="1" si="0"/>
        <v>1.7332647690492812E-2</v>
      </c>
      <c r="H19" s="3">
        <f t="shared" ca="1" si="0"/>
        <v>4.2584950390727842E-2</v>
      </c>
      <c r="I19" s="3">
        <f t="shared" ca="1" si="0"/>
        <v>9.4976195134014081E-4</v>
      </c>
      <c r="K19" s="3">
        <f t="shared" ca="1" si="1"/>
        <v>1.6382885739152669E-2</v>
      </c>
      <c r="L19" s="3">
        <f t="shared" ca="1" si="2"/>
        <v>4.1635188439387703E-2</v>
      </c>
    </row>
    <row r="20" spans="2:12" x14ac:dyDescent="0.2">
      <c r="B20" vm="43">
        <f ca="1"/>
        <v>44562</v>
      </c>
      <c r="C20" vm="377">
        <f ca="1"/>
        <v>310.98</v>
      </c>
      <c r="D20" vm="45">
        <f ca="1"/>
        <v>449.91</v>
      </c>
      <c r="E20" vm="46">
        <f ca="1"/>
        <v>96.296899999999994</v>
      </c>
      <c r="G20" s="3">
        <f t="shared" ca="1" si="0"/>
        <v>-7.5344909609895261E-2</v>
      </c>
      <c r="H20" s="3">
        <f t="shared" ca="1" si="0"/>
        <v>-5.2741283476503191E-2</v>
      </c>
      <c r="I20" s="3">
        <f t="shared" ca="1" si="0"/>
        <v>-2.4841518987341837E-2</v>
      </c>
      <c r="K20" s="3">
        <f t="shared" ca="1" si="1"/>
        <v>-5.0503390622553421E-2</v>
      </c>
      <c r="L20" s="3">
        <f t="shared" ca="1" si="2"/>
        <v>-2.7899764489161354E-2</v>
      </c>
    </row>
    <row r="21" spans="2:12" x14ac:dyDescent="0.2">
      <c r="B21" vm="47">
        <f ca="1"/>
        <v>44593</v>
      </c>
      <c r="C21" vm="378">
        <f ca="1"/>
        <v>298.79000000000002</v>
      </c>
      <c r="D21" vm="49">
        <f ca="1"/>
        <v>436.63</v>
      </c>
      <c r="E21" vm="50">
        <f ca="1"/>
        <v>99.75</v>
      </c>
      <c r="G21" s="3">
        <f t="shared" ca="1" si="0"/>
        <v>-3.9198662293395067E-2</v>
      </c>
      <c r="H21" s="3">
        <f t="shared" ca="1" si="0"/>
        <v>-2.9517014514013978E-2</v>
      </c>
      <c r="I21" s="3">
        <f t="shared" ca="1" si="0"/>
        <v>3.5858890576955293E-2</v>
      </c>
      <c r="K21" s="3">
        <f t="shared" ca="1" si="1"/>
        <v>-7.5057552870350361E-2</v>
      </c>
      <c r="L21" s="3">
        <f t="shared" ca="1" si="2"/>
        <v>-6.5375905090969272E-2</v>
      </c>
    </row>
    <row r="22" spans="2:12" x14ac:dyDescent="0.2">
      <c r="B22" vm="51">
        <f ca="1"/>
        <v>44621</v>
      </c>
      <c r="C22" vm="379">
        <f ca="1"/>
        <v>308.31</v>
      </c>
      <c r="D22" vm="53">
        <f ca="1"/>
        <v>451.64</v>
      </c>
      <c r="E22" vm="54">
        <f ca="1"/>
        <v>95.8125</v>
      </c>
      <c r="G22" s="3">
        <f t="shared" ca="1" si="0"/>
        <v>3.1861842765822088E-2</v>
      </c>
      <c r="H22" s="3">
        <f t="shared" ca="1" si="0"/>
        <v>3.4376932414172161E-2</v>
      </c>
      <c r="I22" s="3">
        <f t="shared" ca="1" si="0"/>
        <v>-3.9473684210526314E-2</v>
      </c>
      <c r="K22" s="3">
        <f t="shared" ca="1" si="1"/>
        <v>7.1335526976348401E-2</v>
      </c>
      <c r="L22" s="3">
        <f t="shared" ca="1" si="2"/>
        <v>7.3850616624698467E-2</v>
      </c>
    </row>
    <row r="23" spans="2:12" x14ac:dyDescent="0.2">
      <c r="B23" vm="55">
        <f ca="1"/>
        <v>44652</v>
      </c>
      <c r="C23" vm="380">
        <f ca="1"/>
        <v>277.52</v>
      </c>
      <c r="D23" vm="57">
        <f ca="1"/>
        <v>412</v>
      </c>
      <c r="E23" vm="58">
        <f ca="1"/>
        <v>91.015600000000006</v>
      </c>
      <c r="G23" s="3">
        <f t="shared" ca="1" si="0"/>
        <v>-9.9867016963445951E-2</v>
      </c>
      <c r="H23" s="3">
        <f t="shared" ca="1" si="0"/>
        <v>-8.7769019573111298E-2</v>
      </c>
      <c r="I23" s="3">
        <f t="shared" ca="1" si="0"/>
        <v>-5.0065492498369148E-2</v>
      </c>
      <c r="K23" s="3">
        <f t="shared" ca="1" si="1"/>
        <v>-4.9801524465076803E-2</v>
      </c>
      <c r="L23" s="3">
        <f t="shared" ca="1" si="2"/>
        <v>-3.7703527074742151E-2</v>
      </c>
    </row>
    <row r="24" spans="2:12" x14ac:dyDescent="0.2">
      <c r="B24" vm="59">
        <f ca="1"/>
        <v>44682</v>
      </c>
      <c r="C24" vm="381">
        <f ca="1"/>
        <v>271.87</v>
      </c>
      <c r="D24" vm="61">
        <f ca="1"/>
        <v>412.93</v>
      </c>
      <c r="E24" vm="62">
        <f ca="1"/>
        <v>100.0938</v>
      </c>
      <c r="G24" s="3">
        <f t="shared" ca="1" si="0"/>
        <v>-2.0358893052752874E-2</v>
      </c>
      <c r="H24" s="3">
        <f t="shared" ca="1" si="0"/>
        <v>2.2572815533980746E-3</v>
      </c>
      <c r="I24" s="3">
        <f t="shared" ca="1" si="0"/>
        <v>9.9743340702033445E-2</v>
      </c>
      <c r="K24" s="3">
        <f t="shared" ca="1" si="1"/>
        <v>-0.12010223375478632</v>
      </c>
      <c r="L24" s="3">
        <f t="shared" ca="1" si="2"/>
        <v>-9.7486059148635368E-2</v>
      </c>
    </row>
    <row r="25" spans="2:12" x14ac:dyDescent="0.2">
      <c r="B25" vm="63">
        <f ca="1"/>
        <v>44713</v>
      </c>
      <c r="C25" vm="382">
        <f ca="1"/>
        <v>256.83</v>
      </c>
      <c r="D25" vm="65">
        <f ca="1"/>
        <v>377.25</v>
      </c>
      <c r="E25" vm="66">
        <f ca="1"/>
        <v>98.796899999999994</v>
      </c>
      <c r="G25" s="3">
        <f t="shared" ca="1" si="0"/>
        <v>-5.5320557619450546E-2</v>
      </c>
      <c r="H25" s="3">
        <f t="shared" ca="1" si="0"/>
        <v>-8.6406897052769244E-2</v>
      </c>
      <c r="I25" s="3">
        <f t="shared" ca="1" si="0"/>
        <v>-1.2956846478003712E-2</v>
      </c>
      <c r="K25" s="3">
        <f t="shared" ca="1" si="1"/>
        <v>-4.2363711141446832E-2</v>
      </c>
      <c r="L25" s="3">
        <f t="shared" ca="1" si="2"/>
        <v>-7.345005057476553E-2</v>
      </c>
    </row>
    <row r="26" spans="2:12" x14ac:dyDescent="0.2">
      <c r="B26" vm="67">
        <f ca="1"/>
        <v>44743</v>
      </c>
      <c r="C26" vm="383">
        <f ca="1"/>
        <v>280.74</v>
      </c>
      <c r="D26" vm="69">
        <f ca="1"/>
        <v>411.99</v>
      </c>
      <c r="E26" vm="70">
        <f ca="1"/>
        <v>101.7813</v>
      </c>
      <c r="G26" s="3">
        <f t="shared" ca="1" si="0"/>
        <v>9.3096600864385107E-2</v>
      </c>
      <c r="H26" s="3">
        <f t="shared" ca="1" si="0"/>
        <v>9.2087475149105397E-2</v>
      </c>
      <c r="I26" s="3">
        <f t="shared" ca="1" si="0"/>
        <v>3.0207425536631291E-2</v>
      </c>
      <c r="K26" s="3">
        <f t="shared" ca="1" si="1"/>
        <v>6.2889175327753816E-2</v>
      </c>
      <c r="L26" s="3">
        <f t="shared" ca="1" si="2"/>
        <v>6.1880049612474106E-2</v>
      </c>
    </row>
    <row r="27" spans="2:12" x14ac:dyDescent="0.2">
      <c r="B27" vm="71">
        <f ca="1"/>
        <v>44774</v>
      </c>
      <c r="C27" vm="384">
        <f ca="1"/>
        <v>261.47000000000003</v>
      </c>
      <c r="D27" vm="73">
        <f ca="1"/>
        <v>395.18</v>
      </c>
      <c r="E27" vm="74">
        <f ca="1"/>
        <v>96.234399999999994</v>
      </c>
      <c r="G27" s="3">
        <f t="shared" ca="1" si="0"/>
        <v>-6.8640022796893851E-2</v>
      </c>
      <c r="H27" s="3">
        <f t="shared" ca="1" si="0"/>
        <v>-4.0801961212650797E-2</v>
      </c>
      <c r="I27" s="3">
        <f t="shared" ca="1" si="0"/>
        <v>-5.4498223151011119E-2</v>
      </c>
      <c r="K27" s="3">
        <f t="shared" ca="1" si="1"/>
        <v>-1.4141799645882733E-2</v>
      </c>
      <c r="L27" s="3">
        <f t="shared" ca="1" si="2"/>
        <v>1.3696261938360321E-2</v>
      </c>
    </row>
    <row r="28" spans="2:12" x14ac:dyDescent="0.2">
      <c r="B28" vm="75">
        <f ca="1"/>
        <v>44805</v>
      </c>
      <c r="C28" vm="385">
        <f ca="1"/>
        <v>232.9</v>
      </c>
      <c r="D28" vm="77">
        <f ca="1"/>
        <v>357.18</v>
      </c>
      <c r="E28" vm="78">
        <f ca="1"/>
        <v>91.203100000000006</v>
      </c>
      <c r="G28" s="3">
        <f t="shared" ca="1" si="0"/>
        <v>-0.10926683749569747</v>
      </c>
      <c r="H28" s="3">
        <f t="shared" ca="1" si="0"/>
        <v>-9.615871248544966E-2</v>
      </c>
      <c r="I28" s="3">
        <f t="shared" ca="1" si="0"/>
        <v>-5.2281720465862394E-2</v>
      </c>
      <c r="K28" s="3">
        <f t="shared" ca="1" si="1"/>
        <v>-5.6985117029835081E-2</v>
      </c>
      <c r="L28" s="3">
        <f t="shared" ca="1" si="2"/>
        <v>-4.3876992019587266E-2</v>
      </c>
    </row>
    <row r="29" spans="2:12" x14ac:dyDescent="0.2">
      <c r="B29" vm="79">
        <f ca="1"/>
        <v>44835</v>
      </c>
      <c r="C29" vm="386">
        <f ca="1"/>
        <v>232.13</v>
      </c>
      <c r="D29" vm="81">
        <f ca="1"/>
        <v>386.21</v>
      </c>
      <c r="E29" vm="82">
        <f ca="1"/>
        <v>89.531300000000002</v>
      </c>
      <c r="G29" s="3">
        <f t="shared" ca="1" si="0"/>
        <v>-3.3061399742379143E-3</v>
      </c>
      <c r="H29" s="3">
        <f t="shared" ca="1" si="0"/>
        <v>8.1275547343076238E-2</v>
      </c>
      <c r="I29" s="3">
        <f t="shared" ca="1" si="0"/>
        <v>-1.8330517274083934E-2</v>
      </c>
      <c r="K29" s="3">
        <f t="shared" ca="1" si="1"/>
        <v>1.502437729984602E-2</v>
      </c>
      <c r="L29" s="3">
        <f t="shared" ca="1" si="2"/>
        <v>9.9606064617160178E-2</v>
      </c>
    </row>
    <row r="30" spans="2:12" x14ac:dyDescent="0.2">
      <c r="B30" vm="83">
        <f ca="1"/>
        <v>44866</v>
      </c>
      <c r="C30" vm="387">
        <f ca="1"/>
        <v>255.14</v>
      </c>
      <c r="D30" vm="85">
        <f ca="1"/>
        <v>407.68</v>
      </c>
      <c r="E30" vm="86">
        <f ca="1"/>
        <v>103.1875</v>
      </c>
      <c r="G30" s="3">
        <f t="shared" ca="1" si="0"/>
        <v>9.9125490027139926E-2</v>
      </c>
      <c r="H30" s="3">
        <f t="shared" ca="1" si="0"/>
        <v>5.5591517568162475E-2</v>
      </c>
      <c r="I30" s="3">
        <f t="shared" ca="1" si="0"/>
        <v>0.15252989736550232</v>
      </c>
      <c r="K30" s="3">
        <f t="shared" ca="1" si="1"/>
        <v>-5.3404407338362395E-2</v>
      </c>
      <c r="L30" s="3">
        <f t="shared" ca="1" si="2"/>
        <v>-9.6938379797339852E-2</v>
      </c>
    </row>
    <row r="31" spans="2:12" x14ac:dyDescent="0.2">
      <c r="B31" vm="87">
        <f ca="1"/>
        <v>44896</v>
      </c>
      <c r="C31" vm="388">
        <f ca="1"/>
        <v>239.82</v>
      </c>
      <c r="D31" vm="89">
        <f ca="1"/>
        <v>382.43</v>
      </c>
      <c r="E31" vm="90">
        <f ca="1"/>
        <v>102</v>
      </c>
      <c r="G31" s="3">
        <f t="shared" ca="1" si="0"/>
        <v>-6.0045465234773041E-2</v>
      </c>
      <c r="H31" s="3">
        <f t="shared" ca="1" si="0"/>
        <v>-6.1935832025117737E-2</v>
      </c>
      <c r="I31" s="3">
        <f t="shared" ca="1" si="0"/>
        <v>-1.1508176862507571E-2</v>
      </c>
      <c r="K31" s="3">
        <f t="shared" ca="1" si="1"/>
        <v>-4.8537288372265466E-2</v>
      </c>
      <c r="L31" s="3">
        <f t="shared" ca="1" si="2"/>
        <v>-5.0427655162610163E-2</v>
      </c>
    </row>
    <row r="32" spans="2:12" x14ac:dyDescent="0.2">
      <c r="B32" vm="91">
        <f ca="1"/>
        <v>44927</v>
      </c>
      <c r="C32" vm="389">
        <f ca="1"/>
        <v>247.81</v>
      </c>
      <c r="D32" vm="93">
        <f ca="1"/>
        <v>406.48</v>
      </c>
      <c r="E32" vm="94">
        <f ca="1"/>
        <v>104.8438</v>
      </c>
      <c r="G32" s="3">
        <f t="shared" ca="1" si="0"/>
        <v>3.3316654157284666E-2</v>
      </c>
      <c r="H32" s="3">
        <f t="shared" ca="1" si="0"/>
        <v>6.2887325785111026E-2</v>
      </c>
      <c r="I32" s="3">
        <f t="shared" ca="1" si="0"/>
        <v>2.7880392156862763E-2</v>
      </c>
      <c r="K32" s="3">
        <f t="shared" ca="1" si="1"/>
        <v>5.4362620004219028E-3</v>
      </c>
      <c r="L32" s="3">
        <f t="shared" ca="1" si="2"/>
        <v>3.5006933628248263E-2</v>
      </c>
    </row>
    <row r="33" spans="2:12" x14ac:dyDescent="0.2">
      <c r="B33" vm="95">
        <f ca="1"/>
        <v>44958</v>
      </c>
      <c r="C33" vm="390">
        <f ca="1"/>
        <v>249.42</v>
      </c>
      <c r="D33" vm="97">
        <f ca="1"/>
        <v>396.26</v>
      </c>
      <c r="E33" vm="98">
        <f ca="1"/>
        <v>96.531300000000002</v>
      </c>
      <c r="G33" s="3">
        <f t="shared" ca="1" si="0"/>
        <v>6.4969129575077082E-3</v>
      </c>
      <c r="H33" s="3">
        <f t="shared" ca="1" si="0"/>
        <v>-2.5142688447156138E-2</v>
      </c>
      <c r="I33" s="3">
        <f t="shared" ca="1" si="0"/>
        <v>-7.9284611965609791E-2</v>
      </c>
      <c r="K33" s="3">
        <f t="shared" ca="1" si="1"/>
        <v>8.5781524923117497E-2</v>
      </c>
      <c r="L33" s="3">
        <f t="shared" ca="1" si="2"/>
        <v>5.414192351845365E-2</v>
      </c>
    </row>
    <row r="34" spans="2:12" x14ac:dyDescent="0.2">
      <c r="B34" vm="99">
        <f ca="1"/>
        <v>44986</v>
      </c>
      <c r="C34" vm="391">
        <f ca="1"/>
        <v>288.3</v>
      </c>
      <c r="D34" vm="101">
        <f ca="1"/>
        <v>409.39</v>
      </c>
      <c r="E34" vm="102">
        <f ca="1"/>
        <v>100.2188</v>
      </c>
      <c r="G34" s="3">
        <f t="shared" ca="1" si="0"/>
        <v>0.1558816454173684</v>
      </c>
      <c r="H34" s="3">
        <f t="shared" ca="1" si="0"/>
        <v>3.3134810477968998E-2</v>
      </c>
      <c r="I34" s="3">
        <f t="shared" ca="1" si="0"/>
        <v>3.8200044959510543E-2</v>
      </c>
      <c r="K34" s="3">
        <f t="shared" ca="1" si="1"/>
        <v>0.11768160045785786</v>
      </c>
      <c r="L34" s="3">
        <f t="shared" ca="1" si="2"/>
        <v>-5.0652344815415445E-3</v>
      </c>
    </row>
    <row r="35" spans="2:12" x14ac:dyDescent="0.2">
      <c r="B35" vm="103">
        <f ca="1"/>
        <v>45017</v>
      </c>
      <c r="C35" vm="392">
        <f ca="1"/>
        <v>307.26</v>
      </c>
      <c r="D35" vm="105">
        <f ca="1"/>
        <v>415.93</v>
      </c>
      <c r="E35" vm="106">
        <f ca="1"/>
        <v>100.42189999999999</v>
      </c>
      <c r="G35" s="3">
        <f t="shared" ca="1" si="0"/>
        <v>6.5764828303850081E-2</v>
      </c>
      <c r="H35" s="3">
        <f t="shared" ca="1" si="0"/>
        <v>1.5974987176042454E-2</v>
      </c>
      <c r="I35" s="3">
        <f t="shared" ca="1" si="0"/>
        <v>2.0265658738678975E-3</v>
      </c>
      <c r="K35" s="3">
        <f t="shared" ca="1" si="1"/>
        <v>6.3738262429982179E-2</v>
      </c>
      <c r="L35" s="3">
        <f t="shared" ca="1" si="2"/>
        <v>1.3948421302174557E-2</v>
      </c>
    </row>
    <row r="36" spans="2:12" x14ac:dyDescent="0.2">
      <c r="B36" vm="107">
        <f ca="1"/>
        <v>45047</v>
      </c>
      <c r="C36" vm="393">
        <f ca="1"/>
        <v>328.39</v>
      </c>
      <c r="D36" vm="109">
        <f ca="1"/>
        <v>417.85</v>
      </c>
      <c r="E36" vm="110">
        <f ca="1"/>
        <v>97.8125</v>
      </c>
      <c r="G36" s="3">
        <f t="shared" ca="1" si="0"/>
        <v>6.8769120614463303E-2</v>
      </c>
      <c r="H36" s="3">
        <f t="shared" ca="1" si="0"/>
        <v>4.6161613733080465E-3</v>
      </c>
      <c r="I36" s="3">
        <f t="shared" ca="1" si="0"/>
        <v>-2.5984371934806988E-2</v>
      </c>
      <c r="K36" s="3">
        <f t="shared" ca="1" si="1"/>
        <v>9.4753492549270291E-2</v>
      </c>
      <c r="L36" s="3">
        <f t="shared" ca="1" si="2"/>
        <v>3.0600533308115033E-2</v>
      </c>
    </row>
    <row r="37" spans="2:12" x14ac:dyDescent="0.2">
      <c r="B37" vm="111">
        <f ca="1"/>
        <v>45078</v>
      </c>
      <c r="C37" vm="394">
        <f ca="1"/>
        <v>340.54</v>
      </c>
      <c r="D37" vm="113">
        <f ca="1"/>
        <v>443.28</v>
      </c>
      <c r="E37" vm="114">
        <f ca="1"/>
        <v>96.203100000000006</v>
      </c>
      <c r="G37" s="3">
        <f t="shared" ca="1" si="0"/>
        <v>3.6998690581321096E-2</v>
      </c>
      <c r="H37" s="3">
        <f t="shared" ca="1" si="0"/>
        <v>6.0859159985640655E-2</v>
      </c>
      <c r="I37" s="3">
        <f t="shared" ca="1" si="0"/>
        <v>-1.645392971246E-2</v>
      </c>
      <c r="K37" s="3">
        <f t="shared" ca="1" si="1"/>
        <v>5.3452620293781096E-2</v>
      </c>
      <c r="L37" s="3">
        <f t="shared" ca="1" si="2"/>
        <v>7.7313089698100662E-2</v>
      </c>
    </row>
    <row r="38" spans="2:12" x14ac:dyDescent="0.2">
      <c r="B38" vm="115">
        <f ca="1"/>
        <v>45108</v>
      </c>
      <c r="C38" vm="395">
        <f ca="1"/>
        <v>335.92</v>
      </c>
      <c r="D38" vm="117">
        <f ca="1"/>
        <v>457.79</v>
      </c>
      <c r="E38" vm="118">
        <f ca="1"/>
        <v>95.25</v>
      </c>
      <c r="G38" s="3">
        <f t="shared" ca="1" si="0"/>
        <v>-1.3566688201092395E-2</v>
      </c>
      <c r="H38" s="3">
        <f t="shared" ca="1" si="0"/>
        <v>3.273326114419791E-2</v>
      </c>
      <c r="I38" s="3">
        <f t="shared" ca="1" si="0"/>
        <v>-9.9071651537217219E-3</v>
      </c>
      <c r="K38" s="3">
        <f t="shared" ca="1" si="1"/>
        <v>-3.659523047370673E-3</v>
      </c>
      <c r="L38" s="3">
        <f t="shared" ca="1" si="2"/>
        <v>4.2640426297919629E-2</v>
      </c>
    </row>
    <row r="39" spans="2:12" x14ac:dyDescent="0.2">
      <c r="B39" vm="119">
        <f ca="1"/>
        <v>45139</v>
      </c>
      <c r="C39" vm="396">
        <f ca="1"/>
        <v>327.76</v>
      </c>
      <c r="D39" vm="121">
        <f ca="1"/>
        <v>450.35</v>
      </c>
      <c r="E39" vm="122">
        <f ca="1"/>
        <v>98.0625</v>
      </c>
      <c r="G39" s="3">
        <f t="shared" ca="1" si="0"/>
        <v>-2.4291497975708575E-2</v>
      </c>
      <c r="H39" s="3">
        <f t="shared" ca="1" si="0"/>
        <v>-1.6251993272024284E-2</v>
      </c>
      <c r="I39" s="3">
        <f t="shared" ca="1" si="0"/>
        <v>2.952755905511811E-2</v>
      </c>
      <c r="K39" s="3">
        <f t="shared" ca="1" si="1"/>
        <v>-5.3819057030826685E-2</v>
      </c>
      <c r="L39" s="3">
        <f t="shared" ca="1" si="2"/>
        <v>-4.5779552327142398E-2</v>
      </c>
    </row>
    <row r="40" spans="2:12" x14ac:dyDescent="0.2">
      <c r="B40" vm="123">
        <f ca="1"/>
        <v>45170</v>
      </c>
      <c r="C40" vm="397">
        <f ca="1"/>
        <v>315.75</v>
      </c>
      <c r="D40" vm="125">
        <f ca="1"/>
        <v>427.48</v>
      </c>
      <c r="E40" vm="126">
        <f ca="1"/>
        <v>94.453100000000006</v>
      </c>
      <c r="G40" s="3">
        <f t="shared" ca="1" si="0"/>
        <v>-3.6642665364901121E-2</v>
      </c>
      <c r="H40" s="3">
        <f t="shared" ca="1" si="0"/>
        <v>-5.0782724547574119E-2</v>
      </c>
      <c r="I40" s="3">
        <f t="shared" ca="1" si="0"/>
        <v>-3.6807138304652584E-2</v>
      </c>
      <c r="K40" s="3">
        <f t="shared" ca="1" si="1"/>
        <v>1.6447293975146299E-4</v>
      </c>
      <c r="L40" s="3">
        <f t="shared" ca="1" si="2"/>
        <v>-1.3975586242921535E-2</v>
      </c>
    </row>
    <row r="41" spans="2:12" x14ac:dyDescent="0.2">
      <c r="B41" vm="127">
        <f ca="1"/>
        <v>45200</v>
      </c>
      <c r="C41" vm="398">
        <f ca="1"/>
        <v>338.11</v>
      </c>
      <c r="D41" vm="129">
        <f ca="1"/>
        <v>418.2</v>
      </c>
      <c r="E41" vm="130">
        <f ca="1"/>
        <v>91.890600000000006</v>
      </c>
      <c r="G41" s="3">
        <f t="shared" ca="1" si="0"/>
        <v>7.0815518606492517E-2</v>
      </c>
      <c r="H41" s="3">
        <f t="shared" ca="1" si="0"/>
        <v>-2.1708617947038527E-2</v>
      </c>
      <c r="I41" s="3">
        <f t="shared" ca="1" si="0"/>
        <v>-2.7129866568699174E-2</v>
      </c>
      <c r="K41" s="3">
        <f t="shared" ca="1" si="1"/>
        <v>9.794538517519169E-2</v>
      </c>
      <c r="L41" s="3">
        <f t="shared" ca="1" si="2"/>
        <v>5.4212486216606466E-3</v>
      </c>
    </row>
    <row r="42" spans="2:12" x14ac:dyDescent="0.2">
      <c r="B42" vm="131">
        <f ca="1"/>
        <v>45231</v>
      </c>
      <c r="C42" vm="399">
        <f ca="1"/>
        <v>378.91</v>
      </c>
      <c r="D42" vm="133">
        <f ca="1"/>
        <v>456.4</v>
      </c>
      <c r="E42" vm="134">
        <f ca="1"/>
        <v>102.01560000000001</v>
      </c>
      <c r="G42" s="3">
        <f t="shared" ca="1" si="0"/>
        <v>0.1206707876134986</v>
      </c>
      <c r="H42" s="3">
        <f t="shared" ca="1" si="0"/>
        <v>9.134385461501672E-2</v>
      </c>
      <c r="I42" s="3">
        <f t="shared" ca="1" si="0"/>
        <v>0.11018537260612075</v>
      </c>
      <c r="K42" s="3">
        <f t="shared" ca="1" si="1"/>
        <v>1.0485415007377846E-2</v>
      </c>
      <c r="L42" s="3">
        <f t="shared" ca="1" si="2"/>
        <v>-1.8841517991104034E-2</v>
      </c>
    </row>
    <row r="43" spans="2:12" x14ac:dyDescent="0.2">
      <c r="B43" vm="135">
        <f ca="1"/>
        <v>45261</v>
      </c>
      <c r="C43" vm="400">
        <f ca="1"/>
        <v>376.04</v>
      </c>
      <c r="D43" vm="137">
        <f ca="1"/>
        <v>475.31</v>
      </c>
      <c r="E43" vm="138">
        <f ca="1"/>
        <v>105.1563</v>
      </c>
      <c r="G43" s="3">
        <f t="shared" ca="1" si="0"/>
        <v>-7.5743580269721153E-3</v>
      </c>
      <c r="H43" s="3">
        <f t="shared" ca="1" si="0"/>
        <v>4.1432953549518023E-2</v>
      </c>
      <c r="I43" s="3">
        <f t="shared" ca="1" si="0"/>
        <v>3.0786467951960241E-2</v>
      </c>
      <c r="K43" s="3">
        <f t="shared" ca="1" si="1"/>
        <v>-3.8360825978932353E-2</v>
      </c>
      <c r="L43" s="3">
        <f t="shared" ca="1" si="2"/>
        <v>1.0646485597557782E-2</v>
      </c>
    </row>
    <row r="44" spans="2:12" x14ac:dyDescent="0.2">
      <c r="B44" vm="139">
        <f ca="1"/>
        <v>45292</v>
      </c>
      <c r="C44" vm="401">
        <f ca="1"/>
        <v>397.58</v>
      </c>
      <c r="D44" vm="141">
        <f ca="1"/>
        <v>482.88</v>
      </c>
      <c r="E44" vm="142">
        <f ca="1"/>
        <v>103.6875</v>
      </c>
      <c r="G44" s="3">
        <f t="shared" ca="1" si="0"/>
        <v>5.7281140304222856E-2</v>
      </c>
      <c r="H44" s="3">
        <f t="shared" ca="1" si="0"/>
        <v>1.5926448002356344E-2</v>
      </c>
      <c r="I44" s="3">
        <f t="shared" ca="1" si="0"/>
        <v>-1.3967779391249041E-2</v>
      </c>
      <c r="K44" s="3">
        <f t="shared" ca="1" si="1"/>
        <v>7.1248919695471896E-2</v>
      </c>
      <c r="L44" s="3">
        <f t="shared" ca="1" si="2"/>
        <v>2.9894227393605387E-2</v>
      </c>
    </row>
    <row r="45" spans="2:12" x14ac:dyDescent="0.2">
      <c r="B45" vm="143">
        <f ca="1"/>
        <v>45323</v>
      </c>
      <c r="C45" vm="402">
        <f ca="1"/>
        <v>413.64</v>
      </c>
      <c r="D45" vm="145">
        <f ca="1"/>
        <v>508.08</v>
      </c>
      <c r="E45" vm="146">
        <f ca="1"/>
        <v>97.875</v>
      </c>
      <c r="G45" s="3">
        <f t="shared" ca="1" si="0"/>
        <v>4.0394386035514873E-2</v>
      </c>
      <c r="H45" s="3">
        <f t="shared" ca="1" si="0"/>
        <v>5.2186878727634174E-2</v>
      </c>
      <c r="I45" s="3">
        <f t="shared" ca="1" si="0"/>
        <v>-5.6057866184448461E-2</v>
      </c>
      <c r="K45" s="3">
        <f t="shared" ca="1" si="1"/>
        <v>9.6452252219963341E-2</v>
      </c>
      <c r="L45" s="3">
        <f t="shared" ca="1" si="2"/>
        <v>0.10824474491208264</v>
      </c>
    </row>
    <row r="46" spans="2:12" x14ac:dyDescent="0.2">
      <c r="B46" vm="147">
        <f ca="1"/>
        <v>45352</v>
      </c>
      <c r="C46" vm="403">
        <f ca="1"/>
        <v>420.72</v>
      </c>
      <c r="D46" vm="149">
        <f ca="1"/>
        <v>523.07000000000005</v>
      </c>
      <c r="E46" vm="150">
        <f ca="1"/>
        <v>98.468800000000002</v>
      </c>
      <c r="G46" s="3">
        <f t="shared" ca="1" si="0"/>
        <v>1.7116333043226094E-2</v>
      </c>
      <c r="H46" s="3">
        <f t="shared" ca="1" si="0"/>
        <v>2.9503227838135856E-2</v>
      </c>
      <c r="I46" s="3">
        <f t="shared" ca="1" si="0"/>
        <v>6.0669220945083185E-3</v>
      </c>
      <c r="K46" s="3">
        <f t="shared" ca="1" si="1"/>
        <v>1.1049410948717775E-2</v>
      </c>
      <c r="L46" s="3">
        <f t="shared" ca="1" si="2"/>
        <v>2.3436305743627539E-2</v>
      </c>
    </row>
    <row r="47" spans="2:12" x14ac:dyDescent="0.2">
      <c r="B47" vm="151">
        <f ca="1"/>
        <v>45383</v>
      </c>
      <c r="C47" vm="404">
        <f ca="1"/>
        <v>389.33</v>
      </c>
      <c r="D47" vm="153">
        <f ca="1"/>
        <v>501.98</v>
      </c>
      <c r="E47" vm="154">
        <f ca="1"/>
        <v>94.6875</v>
      </c>
      <c r="G47" s="3">
        <f t="shared" ca="1" si="0"/>
        <v>-7.4610192051720953E-2</v>
      </c>
      <c r="H47" s="3">
        <f t="shared" ca="1" si="0"/>
        <v>-4.031965128950242E-2</v>
      </c>
      <c r="I47" s="3">
        <f t="shared" ca="1" si="0"/>
        <v>-3.8400996051541215E-2</v>
      </c>
      <c r="K47" s="3">
        <f t="shared" ca="1" si="1"/>
        <v>-3.6209196000179737E-2</v>
      </c>
      <c r="L47" s="3">
        <f t="shared" ca="1" si="2"/>
        <v>-1.9186552379612046E-3</v>
      </c>
    </row>
    <row r="48" spans="2:12" x14ac:dyDescent="0.2">
      <c r="B48" vm="155">
        <f ca="1"/>
        <v>45413</v>
      </c>
      <c r="C48" vm="405">
        <f ca="1"/>
        <v>415.13</v>
      </c>
      <c r="D48" vm="157">
        <f ca="1"/>
        <v>527.37</v>
      </c>
      <c r="E48" vm="158">
        <f ca="1"/>
        <v>98.984399999999994</v>
      </c>
      <c r="G48" s="3">
        <f t="shared" ca="1" si="0"/>
        <v>6.6267690648036406E-2</v>
      </c>
      <c r="H48" s="3">
        <f t="shared" ca="1" si="0"/>
        <v>5.0579704370692029E-2</v>
      </c>
      <c r="I48" s="3">
        <f t="shared" ca="1" si="0"/>
        <v>4.5379801980197955E-2</v>
      </c>
      <c r="K48" s="3">
        <f t="shared" ca="1" si="1"/>
        <v>2.0887888667838451E-2</v>
      </c>
      <c r="L48" s="3">
        <f t="shared" ca="1" si="2"/>
        <v>5.1999023904940739E-3</v>
      </c>
    </row>
    <row r="49" spans="2:12" x14ac:dyDescent="0.2">
      <c r="B49" vm="159">
        <f ca="1"/>
        <v>45444</v>
      </c>
      <c r="C49" vm="406">
        <f ca="1"/>
        <v>446.95</v>
      </c>
      <c r="D49" vm="161">
        <f ca="1"/>
        <v>544.22</v>
      </c>
      <c r="E49" vm="162">
        <f ca="1"/>
        <v>99.671899999999994</v>
      </c>
      <c r="G49" s="3">
        <f t="shared" ca="1" si="0"/>
        <v>7.6650687736371723E-2</v>
      </c>
      <c r="H49" s="3">
        <f t="shared" ca="1" si="0"/>
        <v>3.1951002142708199E-2</v>
      </c>
      <c r="I49" s="3">
        <f t="shared" ca="1" si="0"/>
        <v>6.9455388929972805E-3</v>
      </c>
      <c r="K49" s="3">
        <f t="shared" ca="1" si="1"/>
        <v>6.9705148843374448E-2</v>
      </c>
      <c r="L49" s="3">
        <f t="shared" ca="1" si="2"/>
        <v>2.5005463249710917E-2</v>
      </c>
    </row>
    <row r="50" spans="2:12" x14ac:dyDescent="0.2">
      <c r="B50" vm="163">
        <f ca="1"/>
        <v>45474</v>
      </c>
      <c r="C50" vm="407">
        <f ca="1"/>
        <v>418.35</v>
      </c>
      <c r="D50" vm="165">
        <f ca="1"/>
        <v>550.80999999999995</v>
      </c>
      <c r="E50" vm="166">
        <f ca="1"/>
        <v>102.5313</v>
      </c>
      <c r="G50" s="3">
        <f t="shared" ca="1" si="0"/>
        <v>-6.3989260543684895E-2</v>
      </c>
      <c r="H50" s="3">
        <f t="shared" ca="1" si="0"/>
        <v>1.210907353643732E-2</v>
      </c>
      <c r="I50" s="3">
        <f t="shared" ca="1" si="0"/>
        <v>2.8688125740554841E-2</v>
      </c>
      <c r="K50" s="3">
        <f t="shared" ca="1" si="1"/>
        <v>-9.2677386284239743E-2</v>
      </c>
      <c r="L50" s="3">
        <f t="shared" ca="1" si="2"/>
        <v>-1.6579052204117522E-2</v>
      </c>
    </row>
    <row r="51" spans="2:12" x14ac:dyDescent="0.2">
      <c r="B51" vm="167">
        <f ca="1"/>
        <v>45505</v>
      </c>
      <c r="C51" vm="408">
        <f ca="1"/>
        <v>417.14</v>
      </c>
      <c r="D51" vm="169">
        <f ca="1"/>
        <v>563.67999999999995</v>
      </c>
      <c r="E51" vm="170">
        <f ca="1"/>
        <v>99.718800000000002</v>
      </c>
      <c r="G51" s="3">
        <f t="shared" ca="1" si="0"/>
        <v>-2.8923150472093613E-3</v>
      </c>
      <c r="H51" s="3">
        <f t="shared" ca="1" si="0"/>
        <v>2.3365588860042495E-2</v>
      </c>
      <c r="I51" s="3">
        <f t="shared" ca="1" si="0"/>
        <v>-2.7430648006998837E-2</v>
      </c>
      <c r="K51" s="3">
        <f t="shared" ca="1" si="1"/>
        <v>2.4538332959789477E-2</v>
      </c>
      <c r="L51" s="3">
        <f t="shared" ca="1" si="2"/>
        <v>5.0796236867041336E-2</v>
      </c>
    </row>
    <row r="52" spans="2:12" x14ac:dyDescent="0.2">
      <c r="B52" vm="171">
        <f ca="1"/>
        <v>45536</v>
      </c>
      <c r="C52" vm="409">
        <f ca="1"/>
        <v>430.3</v>
      </c>
      <c r="D52" vm="173">
        <f ca="1"/>
        <v>573.76</v>
      </c>
      <c r="E52" vm="174">
        <f ca="1"/>
        <v>100.79689999999999</v>
      </c>
      <c r="G52" s="3">
        <f t="shared" ca="1" si="0"/>
        <v>3.1548161288776008E-2</v>
      </c>
      <c r="H52" s="3">
        <f t="shared" ca="1" si="0"/>
        <v>1.7882486517172939E-2</v>
      </c>
      <c r="I52" s="3">
        <f t="shared" ca="1" si="0"/>
        <v>1.081140166147198E-2</v>
      </c>
      <c r="K52" s="3">
        <f t="shared" ca="1" si="1"/>
        <v>2.0736759627304029E-2</v>
      </c>
      <c r="L52" s="3">
        <f t="shared" ca="1" si="2"/>
        <v>7.0710848557009598E-3</v>
      </c>
    </row>
    <row r="53" spans="2:12" x14ac:dyDescent="0.2">
      <c r="B53" vm="175">
        <f ca="1"/>
        <v>45566</v>
      </c>
      <c r="C53" vm="410">
        <f ca="1"/>
        <v>406.35</v>
      </c>
      <c r="D53" vm="177">
        <f ca="1"/>
        <v>568.64</v>
      </c>
      <c r="E53" vm="178">
        <f ca="1"/>
        <v>96.718800000000002</v>
      </c>
      <c r="G53" s="3">
        <f t="shared" ca="1" si="0"/>
        <v>-5.5658842667906085E-2</v>
      </c>
      <c r="H53" s="3">
        <f t="shared" ca="1" si="0"/>
        <v>-8.9235917456776427E-3</v>
      </c>
      <c r="I53" s="3">
        <f t="shared" ca="1" si="0"/>
        <v>-4.0458585531896241E-2</v>
      </c>
      <c r="K53" s="3">
        <f t="shared" ca="1" si="1"/>
        <v>-1.5200257136009844E-2</v>
      </c>
      <c r="L53" s="3">
        <f t="shared" ca="1" si="2"/>
        <v>3.1534993786218601E-2</v>
      </c>
    </row>
    <row r="54" spans="2:12" x14ac:dyDescent="0.2">
      <c r="B54" vm="179">
        <f ca="1"/>
        <v>45597</v>
      </c>
      <c r="C54" vm="411">
        <f ca="1"/>
        <v>423.46</v>
      </c>
      <c r="D54" vm="181">
        <f ca="1"/>
        <v>602.54999999999995</v>
      </c>
      <c r="E54" vm="182">
        <f ca="1"/>
        <v>100.57810000000001</v>
      </c>
      <c r="G54" s="3">
        <f t="shared" ca="1" si="0"/>
        <v>4.2106558385628046E-2</v>
      </c>
      <c r="H54" s="3">
        <f t="shared" ca="1" si="0"/>
        <v>5.9633511536297076E-2</v>
      </c>
      <c r="I54" s="3">
        <f t="shared" ca="1" si="0"/>
        <v>3.990227339462446E-2</v>
      </c>
      <c r="K54" s="3">
        <f t="shared" ca="1" si="1"/>
        <v>2.2042849910035855E-3</v>
      </c>
      <c r="L54" s="3">
        <f t="shared" ca="1" si="2"/>
        <v>1.9731238141672616E-2</v>
      </c>
    </row>
    <row r="55" spans="2:12" x14ac:dyDescent="0.2">
      <c r="B55" vm="183">
        <f ca="1"/>
        <v>45627</v>
      </c>
      <c r="C55" vm="412">
        <f ca="1"/>
        <v>421.5</v>
      </c>
      <c r="D55" vm="185">
        <f ca="1"/>
        <v>586.08000000000004</v>
      </c>
      <c r="E55" vm="186">
        <f ca="1"/>
        <v>97.453100000000006</v>
      </c>
      <c r="G55" s="3">
        <f t="shared" ca="1" si="0"/>
        <v>-4.6285363434562408E-3</v>
      </c>
      <c r="H55" s="3">
        <f t="shared" ca="1" si="0"/>
        <v>-2.7333831217326222E-2</v>
      </c>
      <c r="I55" s="3">
        <f t="shared" ca="1" si="0"/>
        <v>-3.1070382120958737E-2</v>
      </c>
      <c r="K55" s="3">
        <f t="shared" ca="1" si="1"/>
        <v>2.6441845777502495E-2</v>
      </c>
      <c r="L55" s="3">
        <f t="shared" ca="1" si="2"/>
        <v>3.7365509036325142E-3</v>
      </c>
    </row>
    <row r="56" spans="2:12" x14ac:dyDescent="0.2">
      <c r="B56" vm="187">
        <f ca="1"/>
        <v>45658</v>
      </c>
      <c r="C56" vm="413">
        <f ca="1"/>
        <v>415.06</v>
      </c>
      <c r="D56" vm="189">
        <f ca="1"/>
        <v>601.82000000000005</v>
      </c>
      <c r="E56" vm="30">
        <f ca="1"/>
        <v>97.703100000000006</v>
      </c>
      <c r="G56" s="3">
        <f t="shared" ca="1" si="0"/>
        <v>-1.5278766310794775E-2</v>
      </c>
      <c r="H56" s="3">
        <f t="shared" ca="1" si="0"/>
        <v>2.6856401856401872E-2</v>
      </c>
      <c r="I56" s="3">
        <f t="shared" ca="1" si="0"/>
        <v>2.5653365567642281E-3</v>
      </c>
      <c r="K56" s="3">
        <f t="shared" ca="1" si="1"/>
        <v>-1.7844102867559004E-2</v>
      </c>
      <c r="L56" s="3">
        <f t="shared" ca="1" si="2"/>
        <v>2.4291065299637642E-2</v>
      </c>
    </row>
    <row r="57" spans="2:12" x14ac:dyDescent="0.2">
      <c r="B57" vm="190">
        <f ca="1"/>
        <v>45689</v>
      </c>
      <c r="C57" vm="414">
        <f ca="1"/>
        <v>396.99</v>
      </c>
      <c r="D57" vm="192">
        <f ca="1"/>
        <v>594.17999999999995</v>
      </c>
      <c r="E57" vm="193">
        <f ca="1"/>
        <v>103.4063</v>
      </c>
      <c r="G57" s="3">
        <f t="shared" ca="1" si="0"/>
        <v>-4.3535874331421948E-2</v>
      </c>
      <c r="H57" s="3">
        <f t="shared" ca="1" si="0"/>
        <v>-1.2694825695390814E-2</v>
      </c>
      <c r="I57" s="3">
        <f t="shared" ca="1" si="0"/>
        <v>5.8372764016699524E-2</v>
      </c>
      <c r="K57" s="3">
        <f t="shared" ca="1" si="1"/>
        <v>-0.10190863834812147</v>
      </c>
      <c r="L57" s="3">
        <f t="shared" ca="1" si="2"/>
        <v>-7.1067589712090345E-2</v>
      </c>
    </row>
    <row r="58" spans="2:12" x14ac:dyDescent="0.2">
      <c r="B58" vm="194">
        <f ca="1"/>
        <v>45717</v>
      </c>
      <c r="C58" vm="415">
        <f ca="1"/>
        <v>375.39</v>
      </c>
      <c r="D58" vm="195">
        <f ca="1"/>
        <v>559.39</v>
      </c>
      <c r="E58" vm="196">
        <f ca="1"/>
        <v>103.32810000000001</v>
      </c>
      <c r="G58" s="3">
        <f t="shared" ca="1" si="0"/>
        <v>-5.4409430968034515E-2</v>
      </c>
      <c r="H58" s="3">
        <f t="shared" ca="1" si="0"/>
        <v>-5.8551280756673006E-2</v>
      </c>
      <c r="I58" s="3">
        <f t="shared" ca="1" si="0"/>
        <v>-7.5624019039454446E-4</v>
      </c>
      <c r="K58" s="3">
        <f t="shared" ca="1" si="1"/>
        <v>-5.365319077763997E-2</v>
      </c>
      <c r="L58" s="3">
        <f t="shared" ca="1" si="2"/>
        <v>-5.7795040566278461E-2</v>
      </c>
    </row>
    <row r="59" spans="2:12" x14ac:dyDescent="0.2">
      <c r="B59" vm="197">
        <f ca="1"/>
        <v>45748</v>
      </c>
      <c r="C59" vm="416">
        <f ca="1"/>
        <v>395.26</v>
      </c>
      <c r="D59" vm="199">
        <f ca="1"/>
        <v>554.54</v>
      </c>
      <c r="E59" vm="200">
        <f ca="1"/>
        <v>103.5313</v>
      </c>
      <c r="G59" s="3">
        <f t="shared" ca="1" si="0"/>
        <v>5.2931617784171145E-2</v>
      </c>
      <c r="H59" s="3">
        <f t="shared" ca="1" si="0"/>
        <v>-8.6701585655804044E-3</v>
      </c>
      <c r="I59" s="3">
        <f t="shared" ca="1" si="0"/>
        <v>1.9665512092063571E-3</v>
      </c>
      <c r="K59" s="3">
        <f t="shared" ca="1" si="1"/>
        <v>5.0965066574964787E-2</v>
      </c>
      <c r="L59" s="3">
        <f t="shared" ca="1" si="2"/>
        <v>-1.0636709774786762E-2</v>
      </c>
    </row>
    <row r="60" spans="2:12" x14ac:dyDescent="0.2">
      <c r="B60" vm="201">
        <f ca="1"/>
        <v>45778</v>
      </c>
      <c r="C60" vm="417">
        <f ca="1"/>
        <v>460.36</v>
      </c>
      <c r="D60" vm="203">
        <f ca="1"/>
        <v>589.39</v>
      </c>
      <c r="E60" vm="204">
        <f ca="1"/>
        <v>98.8125</v>
      </c>
      <c r="G60" s="3">
        <f t="shared" ca="1" si="0"/>
        <v>0.16470171532662051</v>
      </c>
      <c r="H60" s="3">
        <f t="shared" ca="1" si="0"/>
        <v>6.284488044144701E-2</v>
      </c>
      <c r="I60" s="3">
        <f t="shared" ca="1" si="0"/>
        <v>-4.5578486892369763E-2</v>
      </c>
      <c r="K60" s="3">
        <f t="shared" ca="1" si="1"/>
        <v>0.21028020221899027</v>
      </c>
      <c r="L60" s="3">
        <f t="shared" ca="1" si="2"/>
        <v>0.10842336733381677</v>
      </c>
    </row>
    <row r="61" spans="2:12" x14ac:dyDescent="0.2">
      <c r="B61" vm="205">
        <f ca="1"/>
        <v>45809</v>
      </c>
      <c r="C61" vm="418">
        <f ca="1"/>
        <v>497.41</v>
      </c>
      <c r="D61" vm="207">
        <f ca="1"/>
        <v>617.85</v>
      </c>
      <c r="E61" vm="15">
        <f ca="1"/>
        <v>100.14060000000001</v>
      </c>
      <c r="G61" s="3">
        <f t="shared" ca="1" si="0"/>
        <v>8.0480493526805127E-2</v>
      </c>
      <c r="H61" s="3">
        <f t="shared" ca="1" si="0"/>
        <v>4.828721220244666E-2</v>
      </c>
      <c r="I61" s="3">
        <f t="shared" ca="1" si="0"/>
        <v>1.3440607210626249E-2</v>
      </c>
      <c r="K61" s="3">
        <f t="shared" ca="1" si="1"/>
        <v>6.7039886316178882E-2</v>
      </c>
      <c r="L61" s="3">
        <f t="shared" ca="1" si="2"/>
        <v>3.4846604991820407E-2</v>
      </c>
    </row>
    <row r="62" spans="2:12" x14ac:dyDescent="0.2">
      <c r="B62" vm="208">
        <f ca="1"/>
        <v>45839</v>
      </c>
      <c r="C62" vm="419">
        <f ca="1"/>
        <v>533.5</v>
      </c>
      <c r="D62" vm="210">
        <f ca="1"/>
        <v>632.08000000000004</v>
      </c>
      <c r="E62" vm="211">
        <f ca="1"/>
        <v>98.953100000000006</v>
      </c>
      <c r="G62" s="3">
        <f t="shared" ca="1" si="0"/>
        <v>7.2555839247300968E-2</v>
      </c>
      <c r="H62" s="3">
        <f t="shared" ca="1" si="0"/>
        <v>2.3031480132718326E-2</v>
      </c>
      <c r="I62" s="3">
        <f t="shared" ca="1" si="0"/>
        <v>-1.1858327191968093E-2</v>
      </c>
      <c r="K62" s="3">
        <f t="shared" ca="1" si="1"/>
        <v>8.4414166439269064E-2</v>
      </c>
      <c r="L62" s="3">
        <f t="shared" ca="1" si="2"/>
        <v>3.4889807324686418E-2</v>
      </c>
    </row>
    <row r="63" spans="2:12" x14ac:dyDescent="0.2">
      <c r="B63" vm="212">
        <f ca="1"/>
        <v>45870</v>
      </c>
      <c r="C63" vm="420">
        <f ca="1"/>
        <v>506.69</v>
      </c>
      <c r="D63" vm="214">
        <f ca="1"/>
        <v>645.04999999999995</v>
      </c>
      <c r="E63" vm="15">
        <f ca="1"/>
        <v>100.14060000000001</v>
      </c>
      <c r="G63" s="3">
        <f t="shared" ca="1" si="0"/>
        <v>-5.0253045923149019E-2</v>
      </c>
      <c r="H63" s="3">
        <f t="shared" ca="1" si="0"/>
        <v>2.051955448677369E-2</v>
      </c>
      <c r="I63" s="3">
        <f t="shared" ca="1" si="0"/>
        <v>1.2000634644088966E-2</v>
      </c>
      <c r="K63" s="3">
        <f t="shared" ca="1" si="1"/>
        <v>-6.2253680567237984E-2</v>
      </c>
      <c r="L63" s="3">
        <f t="shared" ca="1" si="2"/>
        <v>8.5189198426847239E-3</v>
      </c>
    </row>
    <row r="64" spans="2:12" x14ac:dyDescent="0.2">
      <c r="B64" vm="215">
        <f ca="1"/>
        <v>45901</v>
      </c>
      <c r="C64" vm="421">
        <f ca="1"/>
        <v>517.95000000000005</v>
      </c>
      <c r="D64" vm="217">
        <f ca="1"/>
        <v>666.18</v>
      </c>
      <c r="E64" vm="218">
        <f ca="1"/>
        <v>100.75</v>
      </c>
      <c r="G64" s="3">
        <f t="shared" ca="1" si="0"/>
        <v>2.2222660798515953E-2</v>
      </c>
      <c r="H64" s="3">
        <f t="shared" ca="1" si="0"/>
        <v>3.275715060847996E-2</v>
      </c>
      <c r="I64" s="3">
        <f t="shared" ca="1" si="0"/>
        <v>6.085443865924447E-3</v>
      </c>
      <c r="K64" s="3">
        <f t="shared" ca="1" si="1"/>
        <v>1.6137216932591507E-2</v>
      </c>
      <c r="L64" s="3">
        <f t="shared" ca="1" si="2"/>
        <v>2.6671706742555513E-2</v>
      </c>
    </row>
    <row r="65" spans="2:12" x14ac:dyDescent="0.2">
      <c r="B65" vm="219">
        <f ca="1"/>
        <v>45931</v>
      </c>
      <c r="C65" vm="422">
        <f ca="1"/>
        <v>517.80999999999995</v>
      </c>
      <c r="D65" vm="221">
        <f ca="1"/>
        <v>682.06</v>
      </c>
      <c r="E65" vm="222">
        <f ca="1"/>
        <v>101.32810000000001</v>
      </c>
      <c r="G65" s="3">
        <f t="shared" ca="1" si="0"/>
        <v>-2.7029636065276579E-4</v>
      </c>
      <c r="H65" s="3">
        <f t="shared" ca="1" si="0"/>
        <v>2.3837401302951148E-2</v>
      </c>
      <c r="I65" s="3">
        <f t="shared" ca="1" si="0"/>
        <v>5.7379652605459679E-3</v>
      </c>
      <c r="K65" s="3">
        <f t="shared" ca="1" si="1"/>
        <v>-6.0082616211987339E-3</v>
      </c>
      <c r="L65" s="3">
        <f t="shared" ca="1" si="2"/>
        <v>1.809943604240518E-2</v>
      </c>
    </row>
    <row r="66" spans="2:12" x14ac:dyDescent="0.2">
      <c r="B66" vm="223">
        <f ca="1"/>
        <v>45962</v>
      </c>
      <c r="C66" vm="423">
        <f ca="1"/>
        <v>492.01</v>
      </c>
      <c r="D66" vm="225">
        <f ca="1"/>
        <v>683.39</v>
      </c>
      <c r="E66" vm="226">
        <f ca="1"/>
        <v>99.859399999999994</v>
      </c>
      <c r="G66" s="3">
        <f t="shared" ca="1" si="0"/>
        <v>-4.9825225468801214E-2</v>
      </c>
      <c r="H66" s="3">
        <f t="shared" ca="1" si="0"/>
        <v>1.9499750755066138E-3</v>
      </c>
      <c r="I66" s="3">
        <f t="shared" ca="1" si="0"/>
        <v>-1.4494498564564149E-2</v>
      </c>
      <c r="K66" s="3">
        <f t="shared" ca="1" si="1"/>
        <v>-3.5330726904237067E-2</v>
      </c>
      <c r="L66" s="3">
        <f t="shared" ca="1" si="2"/>
        <v>1.6444473640070761E-2</v>
      </c>
    </row>
    <row r="67" spans="2:12" x14ac:dyDescent="0.2">
      <c r="B67" vm="227">
        <f ca="1"/>
        <v>45992</v>
      </c>
      <c r="C67" vm="424">
        <f ca="1"/>
        <v>483.62</v>
      </c>
      <c r="D67" vm="229">
        <f ca="1"/>
        <v>681.92</v>
      </c>
      <c r="E67" vm="230">
        <f ca="1"/>
        <v>98.6875</v>
      </c>
      <c r="G67" s="3">
        <f t="shared" ca="1" si="0"/>
        <v>-1.7052498932948489E-2</v>
      </c>
      <c r="H67" s="3">
        <f t="shared" ca="1" si="0"/>
        <v>-2.151041133174362E-3</v>
      </c>
      <c r="I67" s="3">
        <f t="shared" ca="1" si="0"/>
        <v>-1.1735500113159039E-2</v>
      </c>
      <c r="K67" s="3">
        <f t="shared" ca="1" si="1"/>
        <v>-5.3169988197894497E-3</v>
      </c>
      <c r="L67" s="3">
        <f t="shared" ca="1" si="2"/>
        <v>9.5844589799846773E-3</v>
      </c>
    </row>
    <row r="68" spans="2:12" x14ac:dyDescent="0.2">
      <c r="B68" vm="231">
        <f ca="1"/>
        <v>46023</v>
      </c>
      <c r="C68" vm="425">
        <f ca="1"/>
        <v>430.29</v>
      </c>
      <c r="D68" vm="233">
        <f ca="1"/>
        <v>691.97</v>
      </c>
      <c r="E68" vm="234">
        <f ca="1"/>
        <v>98.078100000000006</v>
      </c>
      <c r="G68" s="3">
        <f t="shared" ca="1" si="0"/>
        <v>-0.11027252801786523</v>
      </c>
      <c r="H68" s="3">
        <f t="shared" ca="1" si="0"/>
        <v>1.4737799155326239E-2</v>
      </c>
      <c r="I68" s="3">
        <f t="shared" ca="1" si="0"/>
        <v>-6.1750474984166555E-3</v>
      </c>
      <c r="K68" s="3">
        <f t="shared" ca="1" si="1"/>
        <v>-0.10409748051944857</v>
      </c>
      <c r="L68" s="3">
        <f t="shared" ca="1" si="2"/>
        <v>2.0912846653742895E-2</v>
      </c>
    </row>
    <row r="69" spans="2:12" x14ac:dyDescent="0.2">
      <c r="B69" vm="235">
        <f ca="1"/>
        <v>46054</v>
      </c>
      <c r="C69" vm="426">
        <f ca="1"/>
        <v>392.74</v>
      </c>
      <c r="D69" vm="237">
        <f ca="1"/>
        <v>685.99</v>
      </c>
      <c r="E69" vm="238">
        <f ca="1"/>
        <v>101.4375</v>
      </c>
      <c r="G69" s="3">
        <f t="shared" ca="1" si="0"/>
        <v>-8.7266727091031657E-2</v>
      </c>
      <c r="H69" s="3">
        <f t="shared" ca="1" si="0"/>
        <v>-8.6419931499920784E-3</v>
      </c>
      <c r="I69" s="3">
        <f t="shared" ca="1" si="0"/>
        <v>3.4252294854814617E-2</v>
      </c>
      <c r="K69" s="3">
        <f t="shared" ca="1" si="1"/>
        <v>-0.12151902194584627</v>
      </c>
      <c r="L69" s="3">
        <f t="shared" ca="1" si="2"/>
        <v>-4.2894288004806699E-2</v>
      </c>
    </row>
    <row r="70" spans="2:12" x14ac:dyDescent="0.2">
      <c r="B70" vm="239">
        <f ca="1"/>
        <v>46082</v>
      </c>
      <c r="C70" vm="427">
        <f ca="1"/>
        <v>395.55</v>
      </c>
      <c r="D70" vm="241">
        <f ca="1"/>
        <v>662.29</v>
      </c>
      <c r="E70" vm="242">
        <f ca="1"/>
        <v>98.734399999999994</v>
      </c>
      <c r="G70" s="3">
        <f t="shared" ca="1" si="0"/>
        <v>7.154860722106234E-3</v>
      </c>
      <c r="H70" s="3">
        <f t="shared" ca="1" si="0"/>
        <v>-3.4548608580300073E-2</v>
      </c>
      <c r="I70" s="3">
        <f t="shared" ca="1" si="0"/>
        <v>-2.6647935921133764E-2</v>
      </c>
      <c r="K70" s="3">
        <f t="shared" ca="1" si="1"/>
        <v>3.3802796643239999E-2</v>
      </c>
      <c r="L70" s="3">
        <f t="shared" ca="1" si="2"/>
        <v>-7.9006726591663093E-3</v>
      </c>
    </row>
  </sheetData>
  <pageMargins left="0.7" right="0.7" top="0.75" bottom="0.75" header="0.3" footer="0.3"/>
  <pageSetup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FD2B9-66D5-40EF-B942-576977B9D48F}">
  <dimension ref="B2:L70"/>
  <sheetViews>
    <sheetView showGridLines="0" workbookViewId="0">
      <selection activeCell="B3" sqref="B3"/>
    </sheetView>
  </sheetViews>
  <sheetFormatPr baseColWidth="10" defaultColWidth="8.83203125" defaultRowHeight="15" x14ac:dyDescent="0.2"/>
  <cols>
    <col min="2" max="2" width="10.83203125" bestFit="1" customWidth="1"/>
    <col min="3" max="3" width="10.83203125" customWidth="1"/>
    <col min="4" max="4" width="12" bestFit="1" customWidth="1"/>
    <col min="5" max="5" width="10.5" bestFit="1" customWidth="1"/>
    <col min="11" max="11" width="10.5" customWidth="1"/>
  </cols>
  <sheetData>
    <row r="2" spans="2:12" x14ac:dyDescent="0.2">
      <c r="B2" t="e" vm="428">
        <v>#VALUE!</v>
      </c>
      <c r="G2" s="7" t="s">
        <v>238</v>
      </c>
      <c r="H2" s="7">
        <f ca="1">INDEX(LINEST(K11:K70,L11:L70,1,1),1,1)</f>
        <v>1.4690356110261793</v>
      </c>
    </row>
    <row r="3" spans="2:12" x14ac:dyDescent="0.2">
      <c r="B3" t="e" vm="3">
        <v>#VALUE!</v>
      </c>
      <c r="G3" s="7" t="s">
        <v>239</v>
      </c>
      <c r="H3" s="61">
        <f ca="1">INDEX(LINEST(K11:K70,L11:L70,1,1),2,1)</f>
        <v>0.25078233427551661</v>
      </c>
    </row>
    <row r="4" spans="2:12" x14ac:dyDescent="0.2">
      <c r="B4" t="e" vm="1">
        <v>#VALUE!</v>
      </c>
    </row>
    <row r="6" spans="2:12" x14ac:dyDescent="0.2">
      <c r="B6" s="50">
        <v>44256</v>
      </c>
      <c r="C6" s="50"/>
    </row>
    <row r="7" spans="2:12" x14ac:dyDescent="0.2">
      <c r="B7" s="50">
        <v>46082</v>
      </c>
      <c r="C7" s="50"/>
    </row>
    <row r="9" spans="2:12" x14ac:dyDescent="0.2">
      <c r="C9" t="s">
        <v>240</v>
      </c>
      <c r="D9" t="s">
        <v>241</v>
      </c>
      <c r="E9" t="s">
        <v>242</v>
      </c>
    </row>
    <row r="10" spans="2:12" x14ac:dyDescent="0.2">
      <c r="B10" cm="1" vm="4">
        <f t="array" aca="1" ref="B10:C70" ca="1">_xlfn.STOCKHISTORY(B2,$B$6,$B$7,2,0)</f>
        <v>44256</v>
      </c>
      <c r="C10" vm="429">
        <f ca="1"/>
        <v>70.17</v>
      </c>
      <c r="D10" cm="1" vm="6">
        <f t="array" aca="1" ref="D10:D70" ca="1">_xlfn.STOCKHISTORY(B3,$B$6,$B$7,2,0,1)</f>
        <v>396.33</v>
      </c>
      <c r="E10" cm="1" vm="7">
        <f t="array" aca="1" ref="E10:E70" ca="1">_xlfn.STOCKHISTORY(B4,$B$6,$B$7,2,0,1)</f>
        <v>94.484399999999994</v>
      </c>
      <c r="G10" t="s">
        <v>243</v>
      </c>
      <c r="H10" t="s">
        <v>244</v>
      </c>
      <c r="I10" t="s">
        <v>245</v>
      </c>
      <c r="K10" t="s">
        <v>246</v>
      </c>
      <c r="L10" t="s">
        <v>247</v>
      </c>
    </row>
    <row r="11" spans="2:12" x14ac:dyDescent="0.2">
      <c r="B11" vm="8">
        <f ca="1"/>
        <v>44287</v>
      </c>
      <c r="C11" vm="430">
        <f ca="1"/>
        <v>75.790000000000006</v>
      </c>
      <c r="D11" vm="10">
        <f ca="1"/>
        <v>417.3</v>
      </c>
      <c r="E11" vm="11">
        <f ca="1"/>
        <v>95.484399999999994</v>
      </c>
      <c r="G11" s="3">
        <f ca="1">(C11-C10)/C10</f>
        <v>8.0091207068547873E-2</v>
      </c>
      <c r="H11" s="3">
        <f ca="1">(D11-D10)/D10</f>
        <v>5.291045341003716E-2</v>
      </c>
      <c r="I11" s="3">
        <f ca="1">(E11-E10)/E10</f>
        <v>1.0583757742018789E-2</v>
      </c>
      <c r="K11" s="3">
        <f ca="1">G11-I11</f>
        <v>6.950744932652908E-2</v>
      </c>
      <c r="L11" s="3">
        <f ca="1">H11-I11</f>
        <v>4.2326695668018374E-2</v>
      </c>
    </row>
    <row r="12" spans="2:12" x14ac:dyDescent="0.2">
      <c r="B12" vm="12">
        <f ca="1"/>
        <v>44317</v>
      </c>
      <c r="C12" vm="431">
        <f ca="1"/>
        <v>78.739999999999995</v>
      </c>
      <c r="D12" vm="14">
        <f ca="1"/>
        <v>420.04</v>
      </c>
      <c r="E12" vm="15">
        <f ca="1"/>
        <v>100.14060000000001</v>
      </c>
      <c r="G12" s="3">
        <f t="shared" ref="G12:I70" ca="1" si="0">(C12-C11)/C11</f>
        <v>3.8923340810133107E-2</v>
      </c>
      <c r="H12" s="3">
        <f t="shared" ca="1" si="0"/>
        <v>6.566019650131821E-3</v>
      </c>
      <c r="I12" s="3">
        <f t="shared" ca="1" si="0"/>
        <v>4.8763986577912338E-2</v>
      </c>
      <c r="K12" s="3">
        <f t="shared" ref="K12:K70" ca="1" si="1">G12-I12</f>
        <v>-9.8406457677792311E-3</v>
      </c>
      <c r="L12" s="3">
        <f t="shared" ref="L12:L70" ca="1" si="2">H12-I12</f>
        <v>-4.2197966927780516E-2</v>
      </c>
    </row>
    <row r="13" spans="2:12" x14ac:dyDescent="0.2">
      <c r="B13" vm="16">
        <f ca="1"/>
        <v>44348</v>
      </c>
      <c r="C13" vm="432">
        <f ca="1"/>
        <v>77.84</v>
      </c>
      <c r="D13" vm="18">
        <f ca="1"/>
        <v>428.06</v>
      </c>
      <c r="E13" vm="19">
        <f ca="1"/>
        <v>101.4063</v>
      </c>
      <c r="G13" s="3">
        <f t="shared" ca="1" si="0"/>
        <v>-1.1430022860045613E-2</v>
      </c>
      <c r="H13" s="3">
        <f t="shared" ca="1" si="0"/>
        <v>1.9093419674316686E-2</v>
      </c>
      <c r="I13" s="3">
        <f t="shared" ca="1" si="0"/>
        <v>1.2639229243683334E-2</v>
      </c>
      <c r="K13" s="3">
        <f t="shared" ca="1" si="1"/>
        <v>-2.4069252103728948E-2</v>
      </c>
      <c r="L13" s="3">
        <f t="shared" ca="1" si="2"/>
        <v>6.4541904306333522E-3</v>
      </c>
    </row>
    <row r="14" spans="2:12" x14ac:dyDescent="0.2">
      <c r="B14" vm="20">
        <f ca="1"/>
        <v>44378</v>
      </c>
      <c r="C14" vm="433">
        <f ca="1"/>
        <v>87.14</v>
      </c>
      <c r="D14" vm="22">
        <f ca="1"/>
        <v>438.51</v>
      </c>
      <c r="E14" vm="23">
        <f ca="1"/>
        <v>103.67189999999999</v>
      </c>
      <c r="G14" s="3">
        <f t="shared" ca="1" si="0"/>
        <v>0.11947584789311404</v>
      </c>
      <c r="H14" s="3">
        <f t="shared" ca="1" si="0"/>
        <v>2.4412465542213681E-2</v>
      </c>
      <c r="I14" s="3">
        <f t="shared" ca="1" si="0"/>
        <v>2.2341807165826896E-2</v>
      </c>
      <c r="K14" s="3">
        <f t="shared" ca="1" si="1"/>
        <v>9.7134040727287138E-2</v>
      </c>
      <c r="L14" s="3">
        <f t="shared" ca="1" si="2"/>
        <v>2.0706583763867858E-3</v>
      </c>
    </row>
    <row r="15" spans="2:12" x14ac:dyDescent="0.2">
      <c r="B15" vm="24">
        <f ca="1"/>
        <v>44409</v>
      </c>
      <c r="C15" vm="434">
        <f ca="1"/>
        <v>89.13</v>
      </c>
      <c r="D15" vm="25">
        <f ca="1"/>
        <v>451.56</v>
      </c>
      <c r="E15" vm="26">
        <f ca="1"/>
        <v>99.406300000000002</v>
      </c>
      <c r="G15" s="3">
        <f t="shared" ca="1" si="0"/>
        <v>2.2836814321780984E-2</v>
      </c>
      <c r="H15" s="3">
        <f t="shared" ca="1" si="0"/>
        <v>2.9759868646097035E-2</v>
      </c>
      <c r="I15" s="3">
        <f t="shared" ca="1" si="0"/>
        <v>-4.1145189776593198E-2</v>
      </c>
      <c r="K15" s="3">
        <f t="shared" ca="1" si="1"/>
        <v>6.3982004098374179E-2</v>
      </c>
      <c r="L15" s="3">
        <f t="shared" ca="1" si="2"/>
        <v>7.0905058422690237E-2</v>
      </c>
    </row>
    <row r="16" spans="2:12" x14ac:dyDescent="0.2">
      <c r="B16" vm="27">
        <f ca="1"/>
        <v>44440</v>
      </c>
      <c r="C16" vm="435">
        <f ca="1"/>
        <v>87.13</v>
      </c>
      <c r="D16" vm="29">
        <f ca="1"/>
        <v>429.14</v>
      </c>
      <c r="E16" vm="30">
        <f ca="1"/>
        <v>97.703100000000006</v>
      </c>
      <c r="G16" s="3">
        <f t="shared" ca="1" si="0"/>
        <v>-2.2439133849433412E-2</v>
      </c>
      <c r="H16" s="3">
        <f t="shared" ca="1" si="0"/>
        <v>-4.9650101869076126E-2</v>
      </c>
      <c r="I16" s="3">
        <f t="shared" ca="1" si="0"/>
        <v>-1.7133722912934041E-2</v>
      </c>
      <c r="K16" s="3">
        <f t="shared" ca="1" si="1"/>
        <v>-5.3054109364993711E-3</v>
      </c>
      <c r="L16" s="3">
        <f t="shared" ca="1" si="2"/>
        <v>-3.2516378956142081E-2</v>
      </c>
    </row>
    <row r="17" spans="2:12" x14ac:dyDescent="0.2">
      <c r="B17" vm="31">
        <f ca="1"/>
        <v>44470</v>
      </c>
      <c r="C17" vm="436">
        <f ca="1"/>
        <v>95.94</v>
      </c>
      <c r="D17" vm="33">
        <f ca="1"/>
        <v>459.25</v>
      </c>
      <c r="E17" vm="34">
        <f ca="1"/>
        <v>97.078100000000006</v>
      </c>
      <c r="G17" s="3">
        <f t="shared" ca="1" si="0"/>
        <v>0.10111327900837831</v>
      </c>
      <c r="H17" s="3">
        <f t="shared" ca="1" si="0"/>
        <v>7.0163582979913347E-2</v>
      </c>
      <c r="I17" s="3">
        <f t="shared" ca="1" si="0"/>
        <v>-6.3969311106812365E-3</v>
      </c>
      <c r="K17" s="3">
        <f t="shared" ca="1" si="1"/>
        <v>0.10751021011905955</v>
      </c>
      <c r="L17" s="3">
        <f t="shared" ca="1" si="2"/>
        <v>7.6560514090594584E-2</v>
      </c>
    </row>
    <row r="18" spans="2:12" x14ac:dyDescent="0.2">
      <c r="B18" vm="35">
        <f ca="1"/>
        <v>44501</v>
      </c>
      <c r="C18" vm="437">
        <f ca="1"/>
        <v>90.74</v>
      </c>
      <c r="D18" vm="37">
        <f ca="1"/>
        <v>455.56</v>
      </c>
      <c r="E18" vm="38">
        <f ca="1"/>
        <v>98.656300000000002</v>
      </c>
      <c r="G18" s="3">
        <f t="shared" ca="1" si="0"/>
        <v>-5.4200542005420085E-2</v>
      </c>
      <c r="H18" s="3">
        <f t="shared" ca="1" si="0"/>
        <v>-8.0348394120849168E-3</v>
      </c>
      <c r="I18" s="3">
        <f t="shared" ca="1" si="0"/>
        <v>1.6257013682797618E-2</v>
      </c>
      <c r="K18" s="3">
        <f t="shared" ca="1" si="1"/>
        <v>-7.045755568821771E-2</v>
      </c>
      <c r="L18" s="3">
        <f t="shared" ca="1" si="2"/>
        <v>-2.4291853094882535E-2</v>
      </c>
    </row>
    <row r="19" spans="2:12" x14ac:dyDescent="0.2">
      <c r="B19" vm="39">
        <f ca="1"/>
        <v>44531</v>
      </c>
      <c r="C19" vm="438">
        <f ca="1"/>
        <v>87.21</v>
      </c>
      <c r="D19" vm="41">
        <f ca="1"/>
        <v>474.96</v>
      </c>
      <c r="E19" vm="42">
        <f ca="1"/>
        <v>98.75</v>
      </c>
      <c r="G19" s="3">
        <f t="shared" ca="1" si="0"/>
        <v>-3.8902358386599091E-2</v>
      </c>
      <c r="H19" s="3">
        <f t="shared" ca="1" si="0"/>
        <v>4.2584950390727842E-2</v>
      </c>
      <c r="I19" s="3">
        <f t="shared" ca="1" si="0"/>
        <v>9.4976195134014081E-4</v>
      </c>
      <c r="K19" s="3">
        <f t="shared" ca="1" si="1"/>
        <v>-3.985212033793923E-2</v>
      </c>
      <c r="L19" s="3">
        <f t="shared" ca="1" si="2"/>
        <v>4.1635188439387703E-2</v>
      </c>
    </row>
    <row r="20" spans="2:12" x14ac:dyDescent="0.2">
      <c r="B20" vm="43">
        <f ca="1"/>
        <v>44562</v>
      </c>
      <c r="C20" vm="439">
        <f ca="1"/>
        <v>81.16</v>
      </c>
      <c r="D20" vm="45">
        <f ca="1"/>
        <v>449.91</v>
      </c>
      <c r="E20" vm="46">
        <f ca="1"/>
        <v>96.296899999999994</v>
      </c>
      <c r="G20" s="3">
        <f t="shared" ca="1" si="0"/>
        <v>-6.9372778351106501E-2</v>
      </c>
      <c r="H20" s="3">
        <f t="shared" ca="1" si="0"/>
        <v>-5.2741283476503191E-2</v>
      </c>
      <c r="I20" s="3">
        <f t="shared" ca="1" si="0"/>
        <v>-2.4841518987341837E-2</v>
      </c>
      <c r="K20" s="3">
        <f t="shared" ca="1" si="1"/>
        <v>-4.4531259363764661E-2</v>
      </c>
      <c r="L20" s="3">
        <f t="shared" ca="1" si="2"/>
        <v>-2.7899764489161354E-2</v>
      </c>
    </row>
    <row r="21" spans="2:12" x14ac:dyDescent="0.2">
      <c r="B21" vm="47">
        <f ca="1"/>
        <v>44593</v>
      </c>
      <c r="C21" vm="440">
        <f ca="1"/>
        <v>75.97</v>
      </c>
      <c r="D21" vm="49">
        <f ca="1"/>
        <v>436.63</v>
      </c>
      <c r="E21" vm="50">
        <f ca="1"/>
        <v>99.75</v>
      </c>
      <c r="G21" s="3">
        <f t="shared" ca="1" si="0"/>
        <v>-6.3947757516017723E-2</v>
      </c>
      <c r="H21" s="3">
        <f t="shared" ca="1" si="0"/>
        <v>-2.9517014514013978E-2</v>
      </c>
      <c r="I21" s="3">
        <f t="shared" ca="1" si="0"/>
        <v>3.5858890576955293E-2</v>
      </c>
      <c r="K21" s="3">
        <f t="shared" ca="1" si="1"/>
        <v>-9.9806648092973016E-2</v>
      </c>
      <c r="L21" s="3">
        <f t="shared" ca="1" si="2"/>
        <v>-6.5375905090969272E-2</v>
      </c>
    </row>
    <row r="22" spans="2:12" x14ac:dyDescent="0.2">
      <c r="B22" vm="51">
        <f ca="1"/>
        <v>44621</v>
      </c>
      <c r="C22" vm="441">
        <f ca="1"/>
        <v>82.73</v>
      </c>
      <c r="D22" vm="53">
        <f ca="1"/>
        <v>451.64</v>
      </c>
      <c r="E22" vm="54">
        <f ca="1"/>
        <v>95.8125</v>
      </c>
      <c r="G22" s="3">
        <f t="shared" ca="1" si="0"/>
        <v>8.898249308937746E-2</v>
      </c>
      <c r="H22" s="3">
        <f t="shared" ca="1" si="0"/>
        <v>3.4376932414172161E-2</v>
      </c>
      <c r="I22" s="3">
        <f t="shared" ca="1" si="0"/>
        <v>-3.9473684210526314E-2</v>
      </c>
      <c r="K22" s="3">
        <f t="shared" ca="1" si="1"/>
        <v>0.12845617729990377</v>
      </c>
      <c r="L22" s="3">
        <f t="shared" ca="1" si="2"/>
        <v>7.3850616624698467E-2</v>
      </c>
    </row>
    <row r="23" spans="2:12" x14ac:dyDescent="0.2">
      <c r="B23" vm="55">
        <f ca="1"/>
        <v>44652</v>
      </c>
      <c r="C23" vm="442">
        <f ca="1"/>
        <v>73.400000000000006</v>
      </c>
      <c r="D23" vm="57">
        <f ca="1"/>
        <v>412</v>
      </c>
      <c r="E23" vm="58">
        <f ca="1"/>
        <v>91.015600000000006</v>
      </c>
      <c r="G23" s="3">
        <f t="shared" ca="1" si="0"/>
        <v>-0.11277650187356458</v>
      </c>
      <c r="H23" s="3">
        <f t="shared" ca="1" si="0"/>
        <v>-8.7769019573111298E-2</v>
      </c>
      <c r="I23" s="3">
        <f t="shared" ca="1" si="0"/>
        <v>-5.0065492498369148E-2</v>
      </c>
      <c r="K23" s="3">
        <f t="shared" ca="1" si="1"/>
        <v>-6.2711009375195442E-2</v>
      </c>
      <c r="L23" s="3">
        <f t="shared" ca="1" si="2"/>
        <v>-3.7703527074742151E-2</v>
      </c>
    </row>
    <row r="24" spans="2:12" x14ac:dyDescent="0.2">
      <c r="B24" vm="59">
        <f ca="1"/>
        <v>44682</v>
      </c>
      <c r="C24" vm="443">
        <f ca="1"/>
        <v>71.92</v>
      </c>
      <c r="D24" vm="61">
        <f ca="1"/>
        <v>412.93</v>
      </c>
      <c r="E24" vm="62">
        <f ca="1"/>
        <v>100.0938</v>
      </c>
      <c r="G24" s="3">
        <f t="shared" ca="1" si="0"/>
        <v>-2.016348773841967E-2</v>
      </c>
      <c r="H24" s="3">
        <f t="shared" ca="1" si="0"/>
        <v>2.2572815533980746E-3</v>
      </c>
      <c r="I24" s="3">
        <f t="shared" ca="1" si="0"/>
        <v>9.9743340702033445E-2</v>
      </c>
      <c r="K24" s="3">
        <f t="shared" ca="1" si="1"/>
        <v>-0.11990682844045311</v>
      </c>
      <c r="L24" s="3">
        <f t="shared" ca="1" si="2"/>
        <v>-9.7486059148635368E-2</v>
      </c>
    </row>
    <row r="25" spans="2:12" x14ac:dyDescent="0.2">
      <c r="B25" vm="63">
        <f ca="1"/>
        <v>44713</v>
      </c>
      <c r="C25" vm="444">
        <f ca="1"/>
        <v>69.87</v>
      </c>
      <c r="D25" vm="65">
        <f ca="1"/>
        <v>377.25</v>
      </c>
      <c r="E25" vm="66">
        <f ca="1"/>
        <v>98.796899999999994</v>
      </c>
      <c r="G25" s="3">
        <f t="shared" ca="1" si="0"/>
        <v>-2.850389321468294E-2</v>
      </c>
      <c r="H25" s="3">
        <f t="shared" ca="1" si="0"/>
        <v>-8.6406897052769244E-2</v>
      </c>
      <c r="I25" s="3">
        <f t="shared" ca="1" si="0"/>
        <v>-1.2956846478003712E-2</v>
      </c>
      <c r="K25" s="3">
        <f t="shared" ca="1" si="1"/>
        <v>-1.5547046736679228E-2</v>
      </c>
      <c r="L25" s="3">
        <f t="shared" ca="1" si="2"/>
        <v>-7.345005057476553E-2</v>
      </c>
    </row>
    <row r="26" spans="2:12" x14ac:dyDescent="0.2">
      <c r="B26" vm="67">
        <f ca="1"/>
        <v>44743</v>
      </c>
      <c r="C26" vm="432">
        <f ca="1"/>
        <v>77.84</v>
      </c>
      <c r="D26" vm="69">
        <f ca="1"/>
        <v>411.99</v>
      </c>
      <c r="E26" vm="70">
        <f ca="1"/>
        <v>101.7813</v>
      </c>
      <c r="G26" s="3">
        <f t="shared" ca="1" si="0"/>
        <v>0.11406898525833689</v>
      </c>
      <c r="H26" s="3">
        <f t="shared" ca="1" si="0"/>
        <v>9.2087475149105397E-2</v>
      </c>
      <c r="I26" s="3">
        <f t="shared" ca="1" si="0"/>
        <v>3.0207425536631291E-2</v>
      </c>
      <c r="K26" s="3">
        <f t="shared" ca="1" si="1"/>
        <v>8.38615597217056E-2</v>
      </c>
      <c r="L26" s="3">
        <f t="shared" ca="1" si="2"/>
        <v>6.1880049612474106E-2</v>
      </c>
    </row>
    <row r="27" spans="2:12" x14ac:dyDescent="0.2">
      <c r="B27" vm="71">
        <f ca="1"/>
        <v>44774</v>
      </c>
      <c r="C27" vm="445">
        <f ca="1"/>
        <v>74.150000000000006</v>
      </c>
      <c r="D27" vm="73">
        <f ca="1"/>
        <v>395.18</v>
      </c>
      <c r="E27" vm="74">
        <f ca="1"/>
        <v>96.234399999999994</v>
      </c>
      <c r="G27" s="3">
        <f t="shared" ca="1" si="0"/>
        <v>-4.740493319630007E-2</v>
      </c>
      <c r="H27" s="3">
        <f t="shared" ca="1" si="0"/>
        <v>-4.0801961212650797E-2</v>
      </c>
      <c r="I27" s="3">
        <f t="shared" ca="1" si="0"/>
        <v>-5.4498223151011119E-2</v>
      </c>
      <c r="K27" s="3">
        <f t="shared" ca="1" si="1"/>
        <v>7.093289954711049E-3</v>
      </c>
      <c r="L27" s="3">
        <f t="shared" ca="1" si="2"/>
        <v>1.3696261938360321E-2</v>
      </c>
    </row>
    <row r="28" spans="2:12" x14ac:dyDescent="0.2">
      <c r="B28" vm="75">
        <f ca="1"/>
        <v>44805</v>
      </c>
      <c r="C28" vm="446">
        <f ca="1"/>
        <v>61.07</v>
      </c>
      <c r="D28" vm="77">
        <f ca="1"/>
        <v>357.18</v>
      </c>
      <c r="E28" vm="78">
        <f ca="1"/>
        <v>91.203100000000006</v>
      </c>
      <c r="G28" s="3">
        <f t="shared" ca="1" si="0"/>
        <v>-0.17639919082939992</v>
      </c>
      <c r="H28" s="3">
        <f t="shared" ca="1" si="0"/>
        <v>-9.615871248544966E-2</v>
      </c>
      <c r="I28" s="3">
        <f t="shared" ca="1" si="0"/>
        <v>-5.2281720465862394E-2</v>
      </c>
      <c r="K28" s="3">
        <f t="shared" ca="1" si="1"/>
        <v>-0.12411747036353753</v>
      </c>
      <c r="L28" s="3">
        <f t="shared" ca="1" si="2"/>
        <v>-4.3876992019587266E-2</v>
      </c>
    </row>
    <row r="29" spans="2:12" x14ac:dyDescent="0.2">
      <c r="B29" vm="79">
        <f ca="1"/>
        <v>44835</v>
      </c>
      <c r="C29" vm="447">
        <f ca="1"/>
        <v>78.069999999999993</v>
      </c>
      <c r="D29" vm="81">
        <f ca="1"/>
        <v>386.21</v>
      </c>
      <c r="E29" vm="82">
        <f ca="1"/>
        <v>89.531300000000002</v>
      </c>
      <c r="G29" s="3">
        <f t="shared" ca="1" si="0"/>
        <v>0.27836908465695093</v>
      </c>
      <c r="H29" s="3">
        <f t="shared" ca="1" si="0"/>
        <v>8.1275547343076238E-2</v>
      </c>
      <c r="I29" s="3">
        <f t="shared" ca="1" si="0"/>
        <v>-1.8330517274083934E-2</v>
      </c>
      <c r="K29" s="3">
        <f t="shared" ca="1" si="1"/>
        <v>0.29669960193103484</v>
      </c>
      <c r="L29" s="3">
        <f t="shared" ca="1" si="2"/>
        <v>9.9606064617160178E-2</v>
      </c>
    </row>
    <row r="30" spans="2:12" x14ac:dyDescent="0.2">
      <c r="B30" vm="83">
        <f ca="1"/>
        <v>44866</v>
      </c>
      <c r="C30" vm="448">
        <f ca="1"/>
        <v>83.03</v>
      </c>
      <c r="D30" vm="85">
        <f ca="1"/>
        <v>407.68</v>
      </c>
      <c r="E30" vm="86">
        <f ca="1"/>
        <v>103.1875</v>
      </c>
      <c r="G30" s="3">
        <f t="shared" ca="1" si="0"/>
        <v>6.3532727039836145E-2</v>
      </c>
      <c r="H30" s="3">
        <f t="shared" ca="1" si="0"/>
        <v>5.5591517568162475E-2</v>
      </c>
      <c r="I30" s="3">
        <f t="shared" ca="1" si="0"/>
        <v>0.15252989736550232</v>
      </c>
      <c r="K30" s="3">
        <f t="shared" ca="1" si="1"/>
        <v>-8.8997170325666175E-2</v>
      </c>
      <c r="L30" s="3">
        <f t="shared" ca="1" si="2"/>
        <v>-9.6938379797339852E-2</v>
      </c>
    </row>
    <row r="31" spans="2:12" x14ac:dyDescent="0.2">
      <c r="B31" vm="87">
        <f ca="1"/>
        <v>44896</v>
      </c>
      <c r="C31" vm="449">
        <f ca="1"/>
        <v>81.739999999999995</v>
      </c>
      <c r="D31" vm="89">
        <f ca="1"/>
        <v>382.43</v>
      </c>
      <c r="E31" vm="90">
        <f ca="1"/>
        <v>102</v>
      </c>
      <c r="G31" s="3">
        <f t="shared" ca="1" si="0"/>
        <v>-1.5536553053113408E-2</v>
      </c>
      <c r="H31" s="3">
        <f t="shared" ca="1" si="0"/>
        <v>-6.1935832025117737E-2</v>
      </c>
      <c r="I31" s="3">
        <f t="shared" ca="1" si="0"/>
        <v>-1.1508176862507571E-2</v>
      </c>
      <c r="K31" s="3">
        <f t="shared" ca="1" si="1"/>
        <v>-4.0283761906058368E-3</v>
      </c>
      <c r="L31" s="3">
        <f t="shared" ca="1" si="2"/>
        <v>-5.0427655162610163E-2</v>
      </c>
    </row>
    <row r="32" spans="2:12" x14ac:dyDescent="0.2">
      <c r="B32" vm="91">
        <f ca="1"/>
        <v>44927</v>
      </c>
      <c r="C32" vm="450">
        <f ca="1"/>
        <v>88.46</v>
      </c>
      <c r="D32" vm="93">
        <f ca="1"/>
        <v>406.48</v>
      </c>
      <c r="E32" vm="94">
        <f ca="1"/>
        <v>104.8438</v>
      </c>
      <c r="G32" s="3">
        <f t="shared" ca="1" si="0"/>
        <v>8.2211891362857836E-2</v>
      </c>
      <c r="H32" s="3">
        <f t="shared" ca="1" si="0"/>
        <v>6.2887325785111026E-2</v>
      </c>
      <c r="I32" s="3">
        <f t="shared" ca="1" si="0"/>
        <v>2.7880392156862763E-2</v>
      </c>
      <c r="K32" s="3">
        <f t="shared" ca="1" si="1"/>
        <v>5.4331499205995074E-2</v>
      </c>
      <c r="L32" s="3">
        <f t="shared" ca="1" si="2"/>
        <v>3.5006933628248263E-2</v>
      </c>
    </row>
    <row r="33" spans="2:12" x14ac:dyDescent="0.2">
      <c r="B33" vm="95">
        <f ca="1"/>
        <v>44958</v>
      </c>
      <c r="C33" vm="451">
        <f ca="1"/>
        <v>87.4</v>
      </c>
      <c r="D33" vm="97">
        <f ca="1"/>
        <v>396.26</v>
      </c>
      <c r="E33" vm="98">
        <f ca="1"/>
        <v>96.531300000000002</v>
      </c>
      <c r="G33" s="3">
        <f t="shared" ca="1" si="0"/>
        <v>-1.1982817092471039E-2</v>
      </c>
      <c r="H33" s="3">
        <f t="shared" ca="1" si="0"/>
        <v>-2.5142688447156138E-2</v>
      </c>
      <c r="I33" s="3">
        <f t="shared" ca="1" si="0"/>
        <v>-7.9284611965609791E-2</v>
      </c>
      <c r="K33" s="3">
        <f t="shared" ca="1" si="1"/>
        <v>6.7301794873138754E-2</v>
      </c>
      <c r="L33" s="3">
        <f t="shared" ca="1" si="2"/>
        <v>5.414192351845365E-2</v>
      </c>
    </row>
    <row r="34" spans="2:12" x14ac:dyDescent="0.2">
      <c r="B34" vm="99">
        <f ca="1"/>
        <v>44986</v>
      </c>
      <c r="C34" vm="452">
        <f ca="1"/>
        <v>92.92</v>
      </c>
      <c r="D34" vm="101">
        <f ca="1"/>
        <v>409.39</v>
      </c>
      <c r="E34" vm="102">
        <f ca="1"/>
        <v>100.2188</v>
      </c>
      <c r="G34" s="3">
        <f t="shared" ca="1" si="0"/>
        <v>6.3157894736842052E-2</v>
      </c>
      <c r="H34" s="3">
        <f t="shared" ca="1" si="0"/>
        <v>3.3134810477968998E-2</v>
      </c>
      <c r="I34" s="3">
        <f t="shared" ca="1" si="0"/>
        <v>3.8200044959510543E-2</v>
      </c>
      <c r="K34" s="3">
        <f t="shared" ca="1" si="1"/>
        <v>2.4957849777331509E-2</v>
      </c>
      <c r="L34" s="3">
        <f t="shared" ca="1" si="2"/>
        <v>-5.0652344815415445E-3</v>
      </c>
    </row>
    <row r="35" spans="2:12" x14ac:dyDescent="0.2">
      <c r="B35" vm="103">
        <f ca="1"/>
        <v>45017</v>
      </c>
      <c r="C35" vm="453">
        <f ca="1"/>
        <v>94.72</v>
      </c>
      <c r="D35" vm="105">
        <f ca="1"/>
        <v>415.93</v>
      </c>
      <c r="E35" vm="106">
        <f ca="1"/>
        <v>100.42189999999999</v>
      </c>
      <c r="G35" s="3">
        <f t="shared" ca="1" si="0"/>
        <v>1.9371502367628038E-2</v>
      </c>
      <c r="H35" s="3">
        <f t="shared" ca="1" si="0"/>
        <v>1.5974987176042454E-2</v>
      </c>
      <c r="I35" s="3">
        <f t="shared" ca="1" si="0"/>
        <v>2.0265658738678975E-3</v>
      </c>
      <c r="K35" s="3">
        <f t="shared" ca="1" si="1"/>
        <v>1.7344936493760142E-2</v>
      </c>
      <c r="L35" s="3">
        <f t="shared" ca="1" si="2"/>
        <v>1.3948421302174557E-2</v>
      </c>
    </row>
    <row r="36" spans="2:12" x14ac:dyDescent="0.2">
      <c r="B36" vm="107">
        <f ca="1"/>
        <v>45047</v>
      </c>
      <c r="C36" vm="454">
        <f ca="1"/>
        <v>105.94</v>
      </c>
      <c r="D36" vm="109">
        <f ca="1"/>
        <v>417.85</v>
      </c>
      <c r="E36" vm="110">
        <f ca="1"/>
        <v>97.8125</v>
      </c>
      <c r="G36" s="3">
        <f t="shared" ca="1" si="0"/>
        <v>0.11845439189189189</v>
      </c>
      <c r="H36" s="3">
        <f t="shared" ca="1" si="0"/>
        <v>4.6161613733080465E-3</v>
      </c>
      <c r="I36" s="3">
        <f t="shared" ca="1" si="0"/>
        <v>-2.5984371934806988E-2</v>
      </c>
      <c r="K36" s="3">
        <f t="shared" ca="1" si="1"/>
        <v>0.14443876382669887</v>
      </c>
      <c r="L36" s="3">
        <f t="shared" ca="1" si="2"/>
        <v>3.0600533308115033E-2</v>
      </c>
    </row>
    <row r="37" spans="2:12" x14ac:dyDescent="0.2">
      <c r="B37" vm="111">
        <f ca="1"/>
        <v>45078</v>
      </c>
      <c r="C37" vm="455">
        <f ca="1"/>
        <v>119.09</v>
      </c>
      <c r="D37" vm="113">
        <f ca="1"/>
        <v>443.28</v>
      </c>
      <c r="E37" vm="114">
        <f ca="1"/>
        <v>96.203100000000006</v>
      </c>
      <c r="G37" s="3">
        <f t="shared" ca="1" si="0"/>
        <v>0.12412686426279032</v>
      </c>
      <c r="H37" s="3">
        <f t="shared" ca="1" si="0"/>
        <v>6.0859159985640655E-2</v>
      </c>
      <c r="I37" s="3">
        <f t="shared" ca="1" si="0"/>
        <v>-1.645392971246E-2</v>
      </c>
      <c r="K37" s="3">
        <f t="shared" ca="1" si="1"/>
        <v>0.14058079397525031</v>
      </c>
      <c r="L37" s="3">
        <f t="shared" ca="1" si="2"/>
        <v>7.7313089698100662E-2</v>
      </c>
    </row>
    <row r="38" spans="2:12" x14ac:dyDescent="0.2">
      <c r="B38" vm="115">
        <f ca="1"/>
        <v>45108</v>
      </c>
      <c r="C38" vm="456">
        <f ca="1"/>
        <v>117.23</v>
      </c>
      <c r="D38" vm="117">
        <f ca="1"/>
        <v>457.79</v>
      </c>
      <c r="E38" vm="118">
        <f ca="1"/>
        <v>95.25</v>
      </c>
      <c r="G38" s="3">
        <f t="shared" ca="1" si="0"/>
        <v>-1.5618439835418586E-2</v>
      </c>
      <c r="H38" s="3">
        <f t="shared" ca="1" si="0"/>
        <v>3.273326114419791E-2</v>
      </c>
      <c r="I38" s="3">
        <f t="shared" ca="1" si="0"/>
        <v>-9.9071651537217219E-3</v>
      </c>
      <c r="K38" s="3">
        <f t="shared" ca="1" si="1"/>
        <v>-5.7112746816968644E-3</v>
      </c>
      <c r="L38" s="3">
        <f t="shared" ca="1" si="2"/>
        <v>4.2640426297919629E-2</v>
      </c>
    </row>
    <row r="39" spans="2:12" x14ac:dyDescent="0.2">
      <c r="B39" vm="119">
        <f ca="1"/>
        <v>45139</v>
      </c>
      <c r="C39" vm="457">
        <f ca="1"/>
        <v>120.39</v>
      </c>
      <c r="D39" vm="121">
        <f ca="1"/>
        <v>450.35</v>
      </c>
      <c r="E39" vm="122">
        <f ca="1"/>
        <v>98.0625</v>
      </c>
      <c r="G39" s="3">
        <f t="shared" ca="1" si="0"/>
        <v>2.6955557451164347E-2</v>
      </c>
      <c r="H39" s="3">
        <f t="shared" ca="1" si="0"/>
        <v>-1.6251993272024284E-2</v>
      </c>
      <c r="I39" s="3">
        <f t="shared" ca="1" si="0"/>
        <v>2.952755905511811E-2</v>
      </c>
      <c r="K39" s="3">
        <f t="shared" ca="1" si="1"/>
        <v>-2.5720016039537628E-3</v>
      </c>
      <c r="L39" s="3">
        <f t="shared" ca="1" si="2"/>
        <v>-4.5779552327142398E-2</v>
      </c>
    </row>
    <row r="40" spans="2:12" x14ac:dyDescent="0.2">
      <c r="B40" vm="123">
        <f ca="1"/>
        <v>45170</v>
      </c>
      <c r="C40" vm="458">
        <f ca="1"/>
        <v>105.92</v>
      </c>
      <c r="D40" vm="125">
        <f ca="1"/>
        <v>427.48</v>
      </c>
      <c r="E40" vm="126">
        <f ca="1"/>
        <v>94.453100000000006</v>
      </c>
      <c r="G40" s="3">
        <f t="shared" ca="1" si="0"/>
        <v>-0.12019270703546805</v>
      </c>
      <c r="H40" s="3">
        <f t="shared" ca="1" si="0"/>
        <v>-5.0782724547574119E-2</v>
      </c>
      <c r="I40" s="3">
        <f t="shared" ca="1" si="0"/>
        <v>-3.6807138304652584E-2</v>
      </c>
      <c r="K40" s="3">
        <f t="shared" ca="1" si="1"/>
        <v>-8.3385568730815471E-2</v>
      </c>
      <c r="L40" s="3">
        <f t="shared" ca="1" si="2"/>
        <v>-1.3975586242921535E-2</v>
      </c>
    </row>
    <row r="41" spans="2:12" x14ac:dyDescent="0.2">
      <c r="B41" vm="127">
        <f ca="1"/>
        <v>45200</v>
      </c>
      <c r="C41" vm="459">
        <f ca="1"/>
        <v>103.4</v>
      </c>
      <c r="D41" vm="129">
        <f ca="1"/>
        <v>418.2</v>
      </c>
      <c r="E41" vm="130">
        <f ca="1"/>
        <v>91.890600000000006</v>
      </c>
      <c r="G41" s="3">
        <f t="shared" ca="1" si="0"/>
        <v>-2.3791540785498451E-2</v>
      </c>
      <c r="H41" s="3">
        <f t="shared" ca="1" si="0"/>
        <v>-2.1708617947038527E-2</v>
      </c>
      <c r="I41" s="3">
        <f t="shared" ca="1" si="0"/>
        <v>-2.7129866568699174E-2</v>
      </c>
      <c r="K41" s="3">
        <f t="shared" ca="1" si="1"/>
        <v>3.3383257832007227E-3</v>
      </c>
      <c r="L41" s="3">
        <f t="shared" ca="1" si="2"/>
        <v>5.4212486216606466E-3</v>
      </c>
    </row>
    <row r="42" spans="2:12" x14ac:dyDescent="0.2">
      <c r="B42" vm="131">
        <f ca="1"/>
        <v>45231</v>
      </c>
      <c r="C42" vm="460">
        <f ca="1"/>
        <v>116.21</v>
      </c>
      <c r="D42" vm="133">
        <f ca="1"/>
        <v>456.4</v>
      </c>
      <c r="E42" vm="134">
        <f ca="1"/>
        <v>102.01560000000001</v>
      </c>
      <c r="G42" s="3">
        <f t="shared" ca="1" si="0"/>
        <v>0.12388781431334611</v>
      </c>
      <c r="H42" s="3">
        <f t="shared" ca="1" si="0"/>
        <v>9.134385461501672E-2</v>
      </c>
      <c r="I42" s="3">
        <f t="shared" ca="1" si="0"/>
        <v>0.11018537260612075</v>
      </c>
      <c r="K42" s="3">
        <f t="shared" ca="1" si="1"/>
        <v>1.3702441707225357E-2</v>
      </c>
      <c r="L42" s="3">
        <f t="shared" ca="1" si="2"/>
        <v>-1.8841517991104034E-2</v>
      </c>
    </row>
    <row r="43" spans="2:12" x14ac:dyDescent="0.2">
      <c r="B43" vm="135">
        <f ca="1"/>
        <v>45261</v>
      </c>
      <c r="C43" vm="461">
        <f ca="1"/>
        <v>105.43</v>
      </c>
      <c r="D43" vm="137">
        <f ca="1"/>
        <v>475.31</v>
      </c>
      <c r="E43" vm="138">
        <f ca="1"/>
        <v>105.1563</v>
      </c>
      <c r="G43" s="3">
        <f t="shared" ca="1" si="0"/>
        <v>-9.2763101282161503E-2</v>
      </c>
      <c r="H43" s="3">
        <f t="shared" ca="1" si="0"/>
        <v>4.1432953549518023E-2</v>
      </c>
      <c r="I43" s="3">
        <f t="shared" ca="1" si="0"/>
        <v>3.0786467951960241E-2</v>
      </c>
      <c r="K43" s="3">
        <f t="shared" ca="1" si="1"/>
        <v>-0.12354956923412175</v>
      </c>
      <c r="L43" s="3">
        <f t="shared" ca="1" si="2"/>
        <v>1.0646485597557782E-2</v>
      </c>
    </row>
    <row r="44" spans="2:12" x14ac:dyDescent="0.2">
      <c r="B44" vm="139">
        <f ca="1"/>
        <v>45292</v>
      </c>
      <c r="C44" vm="462">
        <f ca="1"/>
        <v>111.7</v>
      </c>
      <c r="D44" vm="141">
        <f ca="1"/>
        <v>482.88</v>
      </c>
      <c r="E44" vm="142">
        <f ca="1"/>
        <v>103.6875</v>
      </c>
      <c r="G44" s="3">
        <f t="shared" ca="1" si="0"/>
        <v>5.9470738878876939E-2</v>
      </c>
      <c r="H44" s="3">
        <f t="shared" ca="1" si="0"/>
        <v>1.5926448002356344E-2</v>
      </c>
      <c r="I44" s="3">
        <f t="shared" ca="1" si="0"/>
        <v>-1.3967779391249041E-2</v>
      </c>
      <c r="K44" s="3">
        <f t="shared" ca="1" si="1"/>
        <v>7.3438518270125985E-2</v>
      </c>
      <c r="L44" s="3">
        <f t="shared" ca="1" si="2"/>
        <v>2.9894227393605387E-2</v>
      </c>
    </row>
    <row r="45" spans="2:12" x14ac:dyDescent="0.2">
      <c r="B45" vm="143">
        <f ca="1"/>
        <v>45323</v>
      </c>
      <c r="C45" vm="463">
        <f ca="1"/>
        <v>111.68</v>
      </c>
      <c r="D45" vm="145">
        <f ca="1"/>
        <v>508.08</v>
      </c>
      <c r="E45" vm="146">
        <f ca="1"/>
        <v>97.875</v>
      </c>
      <c r="G45" s="3">
        <f t="shared" ca="1" si="0"/>
        <v>-1.7905102954338424E-4</v>
      </c>
      <c r="H45" s="3">
        <f t="shared" ca="1" si="0"/>
        <v>5.2186878727634174E-2</v>
      </c>
      <c r="I45" s="3">
        <f t="shared" ca="1" si="0"/>
        <v>-5.6057866184448461E-2</v>
      </c>
      <c r="K45" s="3">
        <f t="shared" ca="1" si="1"/>
        <v>5.587881515490508E-2</v>
      </c>
      <c r="L45" s="3">
        <f t="shared" ca="1" si="2"/>
        <v>0.10824474491208264</v>
      </c>
    </row>
    <row r="46" spans="2:12" x14ac:dyDescent="0.2">
      <c r="B46" vm="147">
        <f ca="1"/>
        <v>45352</v>
      </c>
      <c r="C46" vm="464">
        <f ca="1"/>
        <v>125.61</v>
      </c>
      <c r="D46" vm="149">
        <f ca="1"/>
        <v>523.07000000000005</v>
      </c>
      <c r="E46" vm="150">
        <f ca="1"/>
        <v>98.468800000000002</v>
      </c>
      <c r="G46" s="3">
        <f t="shared" ca="1" si="0"/>
        <v>0.12473137535816611</v>
      </c>
      <c r="H46" s="3">
        <f t="shared" ca="1" si="0"/>
        <v>2.9503227838135856E-2</v>
      </c>
      <c r="I46" s="3">
        <f t="shared" ca="1" si="0"/>
        <v>6.0669220945083185E-3</v>
      </c>
      <c r="K46" s="3">
        <f t="shared" ca="1" si="1"/>
        <v>0.11866445326365779</v>
      </c>
      <c r="L46" s="3">
        <f t="shared" ca="1" si="2"/>
        <v>2.3436305743627539E-2</v>
      </c>
    </row>
    <row r="47" spans="2:12" x14ac:dyDescent="0.2">
      <c r="B47" vm="151">
        <f ca="1"/>
        <v>45383</v>
      </c>
      <c r="C47" vm="465">
        <f ca="1"/>
        <v>113.75</v>
      </c>
      <c r="D47" vm="153">
        <f ca="1"/>
        <v>501.98</v>
      </c>
      <c r="E47" vm="154">
        <f ca="1"/>
        <v>94.6875</v>
      </c>
      <c r="G47" s="3">
        <f t="shared" ca="1" si="0"/>
        <v>-9.4419234137409436E-2</v>
      </c>
      <c r="H47" s="3">
        <f t="shared" ca="1" si="0"/>
        <v>-4.031965128950242E-2</v>
      </c>
      <c r="I47" s="3">
        <f t="shared" ca="1" si="0"/>
        <v>-3.8400996051541215E-2</v>
      </c>
      <c r="K47" s="3">
        <f t="shared" ca="1" si="1"/>
        <v>-5.601823808586822E-2</v>
      </c>
      <c r="L47" s="3">
        <f t="shared" ca="1" si="2"/>
        <v>-1.9186552379612046E-3</v>
      </c>
    </row>
    <row r="48" spans="2:12" x14ac:dyDescent="0.2">
      <c r="B48" vm="155">
        <f ca="1"/>
        <v>45413</v>
      </c>
      <c r="C48" vm="466">
        <f ca="1"/>
        <v>117.19</v>
      </c>
      <c r="D48" vm="157">
        <f ca="1"/>
        <v>527.37</v>
      </c>
      <c r="E48" vm="158">
        <f ca="1"/>
        <v>98.984399999999994</v>
      </c>
      <c r="G48" s="3">
        <f t="shared" ca="1" si="0"/>
        <v>3.0241758241758222E-2</v>
      </c>
      <c r="H48" s="3">
        <f t="shared" ca="1" si="0"/>
        <v>5.0579704370692029E-2</v>
      </c>
      <c r="I48" s="3">
        <f t="shared" ca="1" si="0"/>
        <v>4.5379801980197955E-2</v>
      </c>
      <c r="K48" s="3">
        <f t="shared" ca="1" si="1"/>
        <v>-1.5138043738439733E-2</v>
      </c>
      <c r="L48" s="3">
        <f t="shared" ca="1" si="2"/>
        <v>5.1999023904940739E-3</v>
      </c>
    </row>
    <row r="49" spans="2:12" x14ac:dyDescent="0.2">
      <c r="B49" vm="159">
        <f ca="1"/>
        <v>45444</v>
      </c>
      <c r="C49" vm="467">
        <f ca="1"/>
        <v>141.19999999999999</v>
      </c>
      <c r="D49" vm="161">
        <f ca="1"/>
        <v>544.22</v>
      </c>
      <c r="E49" vm="162">
        <f ca="1"/>
        <v>99.671899999999994</v>
      </c>
      <c r="G49" s="3">
        <f t="shared" ca="1" si="0"/>
        <v>0.20488096253946575</v>
      </c>
      <c r="H49" s="3">
        <f t="shared" ca="1" si="0"/>
        <v>3.1951002142708199E-2</v>
      </c>
      <c r="I49" s="3">
        <f t="shared" ca="1" si="0"/>
        <v>6.9455388929972805E-3</v>
      </c>
      <c r="K49" s="3">
        <f t="shared" ca="1" si="1"/>
        <v>0.19793542364646846</v>
      </c>
      <c r="L49" s="3">
        <f t="shared" ca="1" si="2"/>
        <v>2.5005463249710917E-2</v>
      </c>
    </row>
    <row r="50" spans="2:12" x14ac:dyDescent="0.2">
      <c r="B50" vm="163">
        <f ca="1"/>
        <v>45474</v>
      </c>
      <c r="C50" vm="468">
        <f ca="1"/>
        <v>139.44999999999999</v>
      </c>
      <c r="D50" vm="165">
        <f ca="1"/>
        <v>550.80999999999995</v>
      </c>
      <c r="E50" vm="166">
        <f ca="1"/>
        <v>102.5313</v>
      </c>
      <c r="G50" s="3">
        <f t="shared" ca="1" si="0"/>
        <v>-1.2393767705382436E-2</v>
      </c>
      <c r="H50" s="3">
        <f t="shared" ca="1" si="0"/>
        <v>1.210907353643732E-2</v>
      </c>
      <c r="I50" s="3">
        <f t="shared" ca="1" si="0"/>
        <v>2.8688125740554841E-2</v>
      </c>
      <c r="K50" s="3">
        <f t="shared" ca="1" si="1"/>
        <v>-4.1081893445937281E-2</v>
      </c>
      <c r="L50" s="3">
        <f t="shared" ca="1" si="2"/>
        <v>-1.6579052204117522E-2</v>
      </c>
    </row>
    <row r="51" spans="2:12" x14ac:dyDescent="0.2">
      <c r="B51" vm="167">
        <f ca="1"/>
        <v>45505</v>
      </c>
      <c r="C51" vm="469">
        <f ca="1"/>
        <v>141.29</v>
      </c>
      <c r="D51" vm="169">
        <f ca="1"/>
        <v>563.67999999999995</v>
      </c>
      <c r="E51" vm="170">
        <f ca="1"/>
        <v>99.718800000000002</v>
      </c>
      <c r="G51" s="3">
        <f t="shared" ca="1" si="0"/>
        <v>1.3194693438508452E-2</v>
      </c>
      <c r="H51" s="3">
        <f t="shared" ca="1" si="0"/>
        <v>2.3365588860042495E-2</v>
      </c>
      <c r="I51" s="3">
        <f t="shared" ca="1" si="0"/>
        <v>-2.7430648006998837E-2</v>
      </c>
      <c r="K51" s="3">
        <f t="shared" ca="1" si="1"/>
        <v>4.0625341445507293E-2</v>
      </c>
      <c r="L51" s="3">
        <f t="shared" ca="1" si="2"/>
        <v>5.0796236867041336E-2</v>
      </c>
    </row>
    <row r="52" spans="2:12" x14ac:dyDescent="0.2">
      <c r="B52" vm="171">
        <f ca="1"/>
        <v>45536</v>
      </c>
      <c r="C52" vm="470">
        <f ca="1"/>
        <v>170.4</v>
      </c>
      <c r="D52" vm="173">
        <f ca="1"/>
        <v>573.76</v>
      </c>
      <c r="E52" vm="174">
        <f ca="1"/>
        <v>100.79689999999999</v>
      </c>
      <c r="G52" s="3">
        <f t="shared" ca="1" si="0"/>
        <v>0.20603015075376896</v>
      </c>
      <c r="H52" s="3">
        <f t="shared" ca="1" si="0"/>
        <v>1.7882486517172939E-2</v>
      </c>
      <c r="I52" s="3">
        <f t="shared" ca="1" si="0"/>
        <v>1.081140166147198E-2</v>
      </c>
      <c r="K52" s="3">
        <f t="shared" ca="1" si="1"/>
        <v>0.19521874909229697</v>
      </c>
      <c r="L52" s="3">
        <f t="shared" ca="1" si="2"/>
        <v>7.0710848557009598E-3</v>
      </c>
    </row>
    <row r="53" spans="2:12" x14ac:dyDescent="0.2">
      <c r="B53" vm="175">
        <f ca="1"/>
        <v>45566</v>
      </c>
      <c r="C53" vm="471">
        <f ca="1"/>
        <v>167.84</v>
      </c>
      <c r="D53" vm="177">
        <f ca="1"/>
        <v>568.64</v>
      </c>
      <c r="E53" vm="178">
        <f ca="1"/>
        <v>96.718800000000002</v>
      </c>
      <c r="G53" s="3">
        <f t="shared" ca="1" si="0"/>
        <v>-1.5023474178403769E-2</v>
      </c>
      <c r="H53" s="3">
        <f t="shared" ca="1" si="0"/>
        <v>-8.9235917456776427E-3</v>
      </c>
      <c r="I53" s="3">
        <f t="shared" ca="1" si="0"/>
        <v>-4.0458585531896241E-2</v>
      </c>
      <c r="K53" s="3">
        <f t="shared" ca="1" si="1"/>
        <v>2.5435111353492471E-2</v>
      </c>
      <c r="L53" s="3">
        <f t="shared" ca="1" si="2"/>
        <v>3.1534993786218601E-2</v>
      </c>
    </row>
    <row r="54" spans="2:12" x14ac:dyDescent="0.2">
      <c r="B54" vm="179">
        <f ca="1"/>
        <v>45597</v>
      </c>
      <c r="C54" vm="472">
        <f ca="1"/>
        <v>184.84</v>
      </c>
      <c r="D54" vm="181">
        <f ca="1"/>
        <v>602.54999999999995</v>
      </c>
      <c r="E54" vm="182">
        <f ca="1"/>
        <v>100.57810000000001</v>
      </c>
      <c r="G54" s="3">
        <f t="shared" ca="1" si="0"/>
        <v>0.10128693994280266</v>
      </c>
      <c r="H54" s="3">
        <f t="shared" ca="1" si="0"/>
        <v>5.9633511536297076E-2</v>
      </c>
      <c r="I54" s="3">
        <f t="shared" ca="1" si="0"/>
        <v>3.990227339462446E-2</v>
      </c>
      <c r="K54" s="3">
        <f t="shared" ca="1" si="1"/>
        <v>6.1384666548178202E-2</v>
      </c>
      <c r="L54" s="3">
        <f t="shared" ca="1" si="2"/>
        <v>1.9731238141672616E-2</v>
      </c>
    </row>
    <row r="55" spans="2:12" x14ac:dyDescent="0.2">
      <c r="B55" vm="183">
        <f ca="1"/>
        <v>45627</v>
      </c>
      <c r="C55" vm="473">
        <f ca="1"/>
        <v>166.64</v>
      </c>
      <c r="D55" vm="185">
        <f ca="1"/>
        <v>586.08000000000004</v>
      </c>
      <c r="E55" vm="186">
        <f ca="1"/>
        <v>97.453100000000006</v>
      </c>
      <c r="G55" s="3">
        <f t="shared" ca="1" si="0"/>
        <v>-9.8463536031162174E-2</v>
      </c>
      <c r="H55" s="3">
        <f t="shared" ca="1" si="0"/>
        <v>-2.7333831217326222E-2</v>
      </c>
      <c r="I55" s="3">
        <f t="shared" ca="1" si="0"/>
        <v>-3.1070382120958737E-2</v>
      </c>
      <c r="K55" s="3">
        <f t="shared" ca="1" si="1"/>
        <v>-6.7393153910203438E-2</v>
      </c>
      <c r="L55" s="3">
        <f t="shared" ca="1" si="2"/>
        <v>3.7365509036325142E-3</v>
      </c>
    </row>
    <row r="56" spans="2:12" x14ac:dyDescent="0.2">
      <c r="B56" vm="187">
        <f ca="1"/>
        <v>45658</v>
      </c>
      <c r="C56" vm="474">
        <f ca="1"/>
        <v>170.06</v>
      </c>
      <c r="D56" vm="189">
        <f ca="1"/>
        <v>601.82000000000005</v>
      </c>
      <c r="E56" vm="30">
        <f ca="1"/>
        <v>97.703100000000006</v>
      </c>
      <c r="G56" s="3">
        <f t="shared" ca="1" si="0"/>
        <v>2.052328372539616E-2</v>
      </c>
      <c r="H56" s="3">
        <f t="shared" ca="1" si="0"/>
        <v>2.6856401856401872E-2</v>
      </c>
      <c r="I56" s="3">
        <f t="shared" ca="1" si="0"/>
        <v>2.5653365567642281E-3</v>
      </c>
      <c r="K56" s="3">
        <f t="shared" ca="1" si="1"/>
        <v>1.795794716863193E-2</v>
      </c>
      <c r="L56" s="3">
        <f t="shared" ca="1" si="2"/>
        <v>2.4291065299637642E-2</v>
      </c>
    </row>
    <row r="57" spans="2:12" x14ac:dyDescent="0.2">
      <c r="B57" vm="190">
        <f ca="1"/>
        <v>45689</v>
      </c>
      <c r="C57" vm="475">
        <f ca="1"/>
        <v>166.06</v>
      </c>
      <c r="D57" vm="192">
        <f ca="1"/>
        <v>594.17999999999995</v>
      </c>
      <c r="E57" vm="193">
        <f ca="1"/>
        <v>103.4063</v>
      </c>
      <c r="G57" s="3">
        <f t="shared" ca="1" si="0"/>
        <v>-2.3521110196401268E-2</v>
      </c>
      <c r="H57" s="3">
        <f t="shared" ca="1" si="0"/>
        <v>-1.2694825695390814E-2</v>
      </c>
      <c r="I57" s="3">
        <f t="shared" ca="1" si="0"/>
        <v>5.8372764016699524E-2</v>
      </c>
      <c r="K57" s="3">
        <f t="shared" ca="1" si="1"/>
        <v>-8.1893874213100792E-2</v>
      </c>
      <c r="L57" s="3">
        <f t="shared" ca="1" si="2"/>
        <v>-7.1067589712090345E-2</v>
      </c>
    </row>
    <row r="58" spans="2:12" x14ac:dyDescent="0.2">
      <c r="B58" vm="194">
        <f ca="1"/>
        <v>45717</v>
      </c>
      <c r="C58" vm="476">
        <f ca="1"/>
        <v>139.81</v>
      </c>
      <c r="D58" vm="195">
        <f ca="1"/>
        <v>559.39</v>
      </c>
      <c r="E58" vm="196">
        <f ca="1"/>
        <v>103.32810000000001</v>
      </c>
      <c r="G58" s="3">
        <f t="shared" ca="1" si="0"/>
        <v>-0.15807539443574611</v>
      </c>
      <c r="H58" s="3">
        <f t="shared" ca="1" si="0"/>
        <v>-5.8551280756673006E-2</v>
      </c>
      <c r="I58" s="3">
        <f t="shared" ca="1" si="0"/>
        <v>-7.5624019039454446E-4</v>
      </c>
      <c r="K58" s="3">
        <f t="shared" ca="1" si="1"/>
        <v>-0.15731915424535156</v>
      </c>
      <c r="L58" s="3">
        <f t="shared" ca="1" si="2"/>
        <v>-5.7795040566278461E-2</v>
      </c>
    </row>
    <row r="59" spans="2:12" x14ac:dyDescent="0.2">
      <c r="B59" vm="197">
        <f ca="1"/>
        <v>45748</v>
      </c>
      <c r="C59" vm="477">
        <f ca="1"/>
        <v>140.72</v>
      </c>
      <c r="D59" vm="199">
        <f ca="1"/>
        <v>554.54</v>
      </c>
      <c r="E59" vm="200">
        <f ca="1"/>
        <v>103.5313</v>
      </c>
      <c r="G59" s="3">
        <f t="shared" ca="1" si="0"/>
        <v>6.5088334167798913E-3</v>
      </c>
      <c r="H59" s="3">
        <f t="shared" ca="1" si="0"/>
        <v>-8.6701585655804044E-3</v>
      </c>
      <c r="I59" s="3">
        <f t="shared" ca="1" si="0"/>
        <v>1.9665512092063571E-3</v>
      </c>
      <c r="K59" s="3">
        <f t="shared" ca="1" si="1"/>
        <v>4.5422822075735347E-3</v>
      </c>
      <c r="L59" s="3">
        <f t="shared" ca="1" si="2"/>
        <v>-1.0636709774786762E-2</v>
      </c>
    </row>
    <row r="60" spans="2:12" x14ac:dyDescent="0.2">
      <c r="B60" vm="201">
        <f ca="1"/>
        <v>45778</v>
      </c>
      <c r="C60" vm="478">
        <f ca="1"/>
        <v>165.53</v>
      </c>
      <c r="D60" vm="203">
        <f ca="1"/>
        <v>589.39</v>
      </c>
      <c r="E60" vm="204">
        <f ca="1"/>
        <v>98.8125</v>
      </c>
      <c r="G60" s="3">
        <f t="shared" ca="1" si="0"/>
        <v>0.17630756111426948</v>
      </c>
      <c r="H60" s="3">
        <f t="shared" ca="1" si="0"/>
        <v>6.284488044144701E-2</v>
      </c>
      <c r="I60" s="3">
        <f t="shared" ca="1" si="0"/>
        <v>-4.5578486892369763E-2</v>
      </c>
      <c r="K60" s="3">
        <f t="shared" ca="1" si="1"/>
        <v>0.22188604800663925</v>
      </c>
      <c r="L60" s="3">
        <f t="shared" ca="1" si="2"/>
        <v>0.10842336733381677</v>
      </c>
    </row>
    <row r="61" spans="2:12" x14ac:dyDescent="0.2">
      <c r="B61" vm="205">
        <f ca="1"/>
        <v>45809</v>
      </c>
      <c r="C61" vm="479">
        <f ca="1"/>
        <v>218.63</v>
      </c>
      <c r="D61" vm="207">
        <f ca="1"/>
        <v>617.85</v>
      </c>
      <c r="E61" vm="15">
        <f ca="1"/>
        <v>100.14060000000001</v>
      </c>
      <c r="G61" s="3">
        <f t="shared" ca="1" si="0"/>
        <v>0.32078777260919467</v>
      </c>
      <c r="H61" s="3">
        <f t="shared" ca="1" si="0"/>
        <v>4.828721220244666E-2</v>
      </c>
      <c r="I61" s="3">
        <f t="shared" ca="1" si="0"/>
        <v>1.3440607210626249E-2</v>
      </c>
      <c r="K61" s="3">
        <f t="shared" ca="1" si="1"/>
        <v>0.30734716539856843</v>
      </c>
      <c r="L61" s="3">
        <f t="shared" ca="1" si="2"/>
        <v>3.4846604991820407E-2</v>
      </c>
    </row>
    <row r="62" spans="2:12" x14ac:dyDescent="0.2">
      <c r="B62" vm="208">
        <f ca="1"/>
        <v>45839</v>
      </c>
      <c r="C62" vm="480">
        <f ca="1"/>
        <v>253.77</v>
      </c>
      <c r="D62" vm="210">
        <f ca="1"/>
        <v>632.08000000000004</v>
      </c>
      <c r="E62" vm="211">
        <f ca="1"/>
        <v>98.953100000000006</v>
      </c>
      <c r="G62" s="3">
        <f t="shared" ca="1" si="0"/>
        <v>0.16072817088231264</v>
      </c>
      <c r="H62" s="3">
        <f t="shared" ca="1" si="0"/>
        <v>2.3031480132718326E-2</v>
      </c>
      <c r="I62" s="3">
        <f t="shared" ca="1" si="0"/>
        <v>-1.1858327191968093E-2</v>
      </c>
      <c r="K62" s="3">
        <f t="shared" ca="1" si="1"/>
        <v>0.17258649807428073</v>
      </c>
      <c r="L62" s="3">
        <f t="shared" ca="1" si="2"/>
        <v>3.4889807324686418E-2</v>
      </c>
    </row>
    <row r="63" spans="2:12" x14ac:dyDescent="0.2">
      <c r="B63" vm="212">
        <f ca="1"/>
        <v>45870</v>
      </c>
      <c r="C63" vm="481">
        <f ca="1"/>
        <v>226.13</v>
      </c>
      <c r="D63" vm="214">
        <f ca="1"/>
        <v>645.04999999999995</v>
      </c>
      <c r="E63" vm="15">
        <f ca="1"/>
        <v>100.14060000000001</v>
      </c>
      <c r="G63" s="3">
        <f t="shared" ca="1" si="0"/>
        <v>-0.10891752374197113</v>
      </c>
      <c r="H63" s="3">
        <f t="shared" ca="1" si="0"/>
        <v>2.051955448677369E-2</v>
      </c>
      <c r="I63" s="3">
        <f t="shared" ca="1" si="0"/>
        <v>1.2000634644088966E-2</v>
      </c>
      <c r="K63" s="3">
        <f t="shared" ca="1" si="1"/>
        <v>-0.1209181583860601</v>
      </c>
      <c r="L63" s="3">
        <f t="shared" ca="1" si="2"/>
        <v>8.5189198426847239E-3</v>
      </c>
    </row>
    <row r="64" spans="2:12" x14ac:dyDescent="0.2">
      <c r="B64" vm="215">
        <f ca="1"/>
        <v>45901</v>
      </c>
      <c r="C64" vm="482">
        <f ca="1"/>
        <v>281.24</v>
      </c>
      <c r="D64" vm="217">
        <f ca="1"/>
        <v>666.18</v>
      </c>
      <c r="E64" vm="218">
        <f ca="1"/>
        <v>100.75</v>
      </c>
      <c r="G64" s="3">
        <f t="shared" ca="1" si="0"/>
        <v>0.24370937071595991</v>
      </c>
      <c r="H64" s="3">
        <f t="shared" ca="1" si="0"/>
        <v>3.275715060847996E-2</v>
      </c>
      <c r="I64" s="3">
        <f t="shared" ca="1" si="0"/>
        <v>6.085443865924447E-3</v>
      </c>
      <c r="K64" s="3">
        <f t="shared" ca="1" si="1"/>
        <v>0.23762392685003547</v>
      </c>
      <c r="L64" s="3">
        <f t="shared" ca="1" si="2"/>
        <v>2.6671706742555513E-2</v>
      </c>
    </row>
    <row r="65" spans="2:12" x14ac:dyDescent="0.2">
      <c r="B65" vm="219">
        <f ca="1"/>
        <v>45931</v>
      </c>
      <c r="C65" vm="483">
        <f ca="1"/>
        <v>262.61</v>
      </c>
      <c r="D65" vm="221">
        <f ca="1"/>
        <v>682.06</v>
      </c>
      <c r="E65" vm="222">
        <f ca="1"/>
        <v>101.32810000000001</v>
      </c>
      <c r="G65" s="3">
        <f t="shared" ca="1" si="0"/>
        <v>-6.6242355283743407E-2</v>
      </c>
      <c r="H65" s="3">
        <f t="shared" ca="1" si="0"/>
        <v>2.3837401302951148E-2</v>
      </c>
      <c r="I65" s="3">
        <f t="shared" ca="1" si="0"/>
        <v>5.7379652605459679E-3</v>
      </c>
      <c r="K65" s="3">
        <f t="shared" ca="1" si="1"/>
        <v>-7.1980320544289378E-2</v>
      </c>
      <c r="L65" s="3">
        <f t="shared" ca="1" si="2"/>
        <v>1.809943604240518E-2</v>
      </c>
    </row>
    <row r="66" spans="2:12" x14ac:dyDescent="0.2">
      <c r="B66" vm="223">
        <f ca="1"/>
        <v>45962</v>
      </c>
      <c r="C66" vm="484">
        <f ca="1"/>
        <v>201.95</v>
      </c>
      <c r="D66" vm="225">
        <f ca="1"/>
        <v>683.39</v>
      </c>
      <c r="E66" vm="226">
        <f ca="1"/>
        <v>99.859399999999994</v>
      </c>
      <c r="G66" s="3">
        <f t="shared" ca="1" si="0"/>
        <v>-0.2309889189292107</v>
      </c>
      <c r="H66" s="3">
        <f t="shared" ca="1" si="0"/>
        <v>1.9499750755066138E-3</v>
      </c>
      <c r="I66" s="3">
        <f t="shared" ca="1" si="0"/>
        <v>-1.4494498564564149E-2</v>
      </c>
      <c r="K66" s="3">
        <f t="shared" ca="1" si="1"/>
        <v>-0.21649442036464656</v>
      </c>
      <c r="L66" s="3">
        <f t="shared" ca="1" si="2"/>
        <v>1.6444473640070761E-2</v>
      </c>
    </row>
    <row r="67" spans="2:12" x14ac:dyDescent="0.2">
      <c r="B67" vm="227">
        <f ca="1"/>
        <v>45992</v>
      </c>
      <c r="C67" vm="485">
        <f ca="1"/>
        <v>194.91</v>
      </c>
      <c r="D67" vm="229">
        <f ca="1"/>
        <v>681.92</v>
      </c>
      <c r="E67" vm="230">
        <f ca="1"/>
        <v>98.6875</v>
      </c>
      <c r="G67" s="3">
        <f t="shared" ca="1" si="0"/>
        <v>-3.4860113889576591E-2</v>
      </c>
      <c r="H67" s="3">
        <f t="shared" ca="1" si="0"/>
        <v>-2.151041133174362E-3</v>
      </c>
      <c r="I67" s="3">
        <f t="shared" ca="1" si="0"/>
        <v>-1.1735500113159039E-2</v>
      </c>
      <c r="K67" s="3">
        <f t="shared" ca="1" si="1"/>
        <v>-2.3124613776417551E-2</v>
      </c>
      <c r="L67" s="3">
        <f t="shared" ca="1" si="2"/>
        <v>9.5844589799846773E-3</v>
      </c>
    </row>
    <row r="68" spans="2:12" x14ac:dyDescent="0.2">
      <c r="B68" vm="231">
        <f ca="1"/>
        <v>46023</v>
      </c>
      <c r="C68" vm="486">
        <f ca="1"/>
        <v>164.58</v>
      </c>
      <c r="D68" vm="233">
        <f ca="1"/>
        <v>691.97</v>
      </c>
      <c r="E68" vm="234">
        <f ca="1"/>
        <v>98.078100000000006</v>
      </c>
      <c r="G68" s="3">
        <f t="shared" ca="1" si="0"/>
        <v>-0.15561028166846227</v>
      </c>
      <c r="H68" s="3">
        <f t="shared" ca="1" si="0"/>
        <v>1.4737799155326239E-2</v>
      </c>
      <c r="I68" s="3">
        <f t="shared" ca="1" si="0"/>
        <v>-6.1750474984166555E-3</v>
      </c>
      <c r="K68" s="3">
        <f t="shared" ca="1" si="1"/>
        <v>-0.14943523417004562</v>
      </c>
      <c r="L68" s="3">
        <f t="shared" ca="1" si="2"/>
        <v>2.0912846653742895E-2</v>
      </c>
    </row>
    <row r="69" spans="2:12" x14ac:dyDescent="0.2">
      <c r="B69" vm="235">
        <f ca="1"/>
        <v>46054</v>
      </c>
      <c r="C69" vm="487">
        <f ca="1"/>
        <v>145.4</v>
      </c>
      <c r="D69" vm="237">
        <f ca="1"/>
        <v>685.99</v>
      </c>
      <c r="E69" vm="238">
        <f ca="1"/>
        <v>101.4375</v>
      </c>
      <c r="G69" s="3">
        <f t="shared" ca="1" si="0"/>
        <v>-0.11653906914570425</v>
      </c>
      <c r="H69" s="3">
        <f t="shared" ca="1" si="0"/>
        <v>-8.6419931499920784E-3</v>
      </c>
      <c r="I69" s="3">
        <f t="shared" ca="1" si="0"/>
        <v>3.4252294854814617E-2</v>
      </c>
      <c r="K69" s="3">
        <f t="shared" ca="1" si="1"/>
        <v>-0.15079136400051887</v>
      </c>
      <c r="L69" s="3">
        <f t="shared" ca="1" si="2"/>
        <v>-4.2894288004806699E-2</v>
      </c>
    </row>
    <row r="70" spans="2:12" x14ac:dyDescent="0.2">
      <c r="B70" vm="239">
        <f ca="1"/>
        <v>46082</v>
      </c>
      <c r="C70" vm="488">
        <f ca="1"/>
        <v>155.11000000000001</v>
      </c>
      <c r="D70" vm="241">
        <f ca="1"/>
        <v>662.29</v>
      </c>
      <c r="E70" vm="242">
        <f ca="1"/>
        <v>98.734399999999994</v>
      </c>
      <c r="G70" s="3">
        <f t="shared" ca="1" si="0"/>
        <v>6.6781292984869373E-2</v>
      </c>
      <c r="H70" s="3">
        <f t="shared" ca="1" si="0"/>
        <v>-3.4548608580300073E-2</v>
      </c>
      <c r="I70" s="3">
        <f t="shared" ca="1" si="0"/>
        <v>-2.6647935921133764E-2</v>
      </c>
      <c r="K70" s="3">
        <f t="shared" ca="1" si="1"/>
        <v>9.3429228906003137E-2</v>
      </c>
      <c r="L70" s="3">
        <f t="shared" ca="1" si="2"/>
        <v>-7.9006726591663093E-3</v>
      </c>
    </row>
  </sheetData>
  <pageMargins left="0.7" right="0.7" top="0.75" bottom="0.75" header="0.3" footer="0.3"/>
  <pageSetup orientation="portrait"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58CA4-6884-4E64-855F-737C103DD005}">
  <dimension ref="B2:L70"/>
  <sheetViews>
    <sheetView showGridLines="0" workbookViewId="0">
      <selection activeCell="B3" sqref="B3"/>
    </sheetView>
  </sheetViews>
  <sheetFormatPr baseColWidth="10" defaultColWidth="8.83203125" defaultRowHeight="15" x14ac:dyDescent="0.2"/>
  <cols>
    <col min="2" max="2" width="10.83203125" bestFit="1" customWidth="1"/>
    <col min="3" max="3" width="10.83203125" customWidth="1"/>
    <col min="4" max="4" width="12" bestFit="1" customWidth="1"/>
    <col min="5" max="5" width="10.5" bestFit="1" customWidth="1"/>
    <col min="11" max="11" width="10.5" customWidth="1"/>
  </cols>
  <sheetData>
    <row r="2" spans="2:12" x14ac:dyDescent="0.2">
      <c r="B2" t="e" vm="489">
        <v>#VALUE!</v>
      </c>
      <c r="G2" s="7" t="s">
        <v>238</v>
      </c>
      <c r="H2" s="7">
        <f ca="1">INDEX(LINEST(K11:K70,L11:L70,1,1),1,1)</f>
        <v>1.0645001321833978</v>
      </c>
    </row>
    <row r="3" spans="2:12" x14ac:dyDescent="0.2">
      <c r="B3" t="e" vm="3">
        <v>#VALUE!</v>
      </c>
      <c r="G3" s="7" t="s">
        <v>239</v>
      </c>
      <c r="H3" s="61">
        <f ca="1">INDEX(LINEST(K11:K70,L11:L70,1,1),2,1)</f>
        <v>0.14129261254134823</v>
      </c>
    </row>
    <row r="4" spans="2:12" x14ac:dyDescent="0.2">
      <c r="B4" t="e" vm="1">
        <v>#VALUE!</v>
      </c>
    </row>
    <row r="6" spans="2:12" x14ac:dyDescent="0.2">
      <c r="B6" s="50">
        <v>44256</v>
      </c>
      <c r="C6" s="50"/>
    </row>
    <row r="7" spans="2:12" x14ac:dyDescent="0.2">
      <c r="B7" s="50">
        <v>46082</v>
      </c>
      <c r="C7" s="50"/>
    </row>
    <row r="9" spans="2:12" x14ac:dyDescent="0.2">
      <c r="C9" t="s">
        <v>240</v>
      </c>
      <c r="D9" t="s">
        <v>241</v>
      </c>
      <c r="E9" t="s">
        <v>242</v>
      </c>
    </row>
    <row r="10" spans="2:12" x14ac:dyDescent="0.2">
      <c r="B10" cm="1" vm="4">
        <f t="array" aca="1" ref="B10:C70" ca="1">_xlfn.STOCKHISTORY(B2,$B$6,$B$7,2,0)</f>
        <v>44256</v>
      </c>
      <c r="C10" vm="490">
        <f ca="1"/>
        <v>45.276200000000003</v>
      </c>
      <c r="D10" cm="1" vm="6">
        <f t="array" aca="1" ref="D10:D70" ca="1">_xlfn.STOCKHISTORY(B3,$B$6,$B$7,2,0,1)</f>
        <v>396.33</v>
      </c>
      <c r="E10" cm="1" vm="7">
        <f t="array" aca="1" ref="E10:E70" ca="1">_xlfn.STOCKHISTORY(B4,$B$6,$B$7,2,0,1)</f>
        <v>94.484399999999994</v>
      </c>
      <c r="G10" t="s">
        <v>243</v>
      </c>
      <c r="H10" t="s">
        <v>244</v>
      </c>
      <c r="I10" t="s">
        <v>245</v>
      </c>
      <c r="K10" t="s">
        <v>246</v>
      </c>
      <c r="L10" t="s">
        <v>247</v>
      </c>
    </row>
    <row r="11" spans="2:12" x14ac:dyDescent="0.2">
      <c r="B11" vm="8">
        <f ca="1"/>
        <v>44287</v>
      </c>
      <c r="C11" vm="491">
        <f ca="1"/>
        <v>46.636200000000002</v>
      </c>
      <c r="D11" vm="10">
        <f ca="1"/>
        <v>417.3</v>
      </c>
      <c r="E11" vm="11">
        <f ca="1"/>
        <v>95.484399999999994</v>
      </c>
      <c r="G11" s="3">
        <f ca="1">(C11-C10)/C10</f>
        <v>3.003785653389638E-2</v>
      </c>
      <c r="H11" s="3">
        <f ca="1">(D11-D10)/D10</f>
        <v>5.291045341003716E-2</v>
      </c>
      <c r="I11" s="3">
        <f ca="1">(E11-E10)/E10</f>
        <v>1.0583757742018789E-2</v>
      </c>
      <c r="K11" s="3">
        <f ca="1">G11-I11</f>
        <v>1.9454098791877591E-2</v>
      </c>
      <c r="L11" s="3">
        <f ca="1">H11-I11</f>
        <v>4.2326695668018374E-2</v>
      </c>
    </row>
    <row r="12" spans="2:12" x14ac:dyDescent="0.2">
      <c r="B12" vm="12">
        <f ca="1"/>
        <v>44317</v>
      </c>
      <c r="C12" vm="492">
        <f ca="1"/>
        <v>47.3429</v>
      </c>
      <c r="D12" vm="14">
        <f ca="1"/>
        <v>420.04</v>
      </c>
      <c r="E12" vm="15">
        <f ca="1"/>
        <v>100.14060000000001</v>
      </c>
      <c r="G12" s="3">
        <f t="shared" ref="G12:I70" ca="1" si="0">(C12-C11)/C11</f>
        <v>1.5153464476093632E-2</v>
      </c>
      <c r="H12" s="3">
        <f t="shared" ca="1" si="0"/>
        <v>6.566019650131821E-3</v>
      </c>
      <c r="I12" s="3">
        <f t="shared" ca="1" si="0"/>
        <v>4.8763986577912338E-2</v>
      </c>
      <c r="K12" s="3">
        <f t="shared" ref="K12:K70" ca="1" si="1">G12-I12</f>
        <v>-3.361052210181871E-2</v>
      </c>
      <c r="L12" s="3">
        <f t="shared" ref="L12:L70" ca="1" si="2">H12-I12</f>
        <v>-4.2197966927780516E-2</v>
      </c>
    </row>
    <row r="13" spans="2:12" x14ac:dyDescent="0.2">
      <c r="B13" vm="16">
        <f ca="1"/>
        <v>44348</v>
      </c>
      <c r="C13" vm="493">
        <f ca="1"/>
        <v>47.0062</v>
      </c>
      <c r="D13" vm="18">
        <f ca="1"/>
        <v>428.06</v>
      </c>
      <c r="E13" vm="19">
        <f ca="1"/>
        <v>101.4063</v>
      </c>
      <c r="G13" s="3">
        <f t="shared" ca="1" si="0"/>
        <v>-7.1119428678851617E-3</v>
      </c>
      <c r="H13" s="3">
        <f t="shared" ca="1" si="0"/>
        <v>1.9093419674316686E-2</v>
      </c>
      <c r="I13" s="3">
        <f t="shared" ca="1" si="0"/>
        <v>1.2639229243683334E-2</v>
      </c>
      <c r="K13" s="3">
        <f t="shared" ca="1" si="1"/>
        <v>-1.9751172111568495E-2</v>
      </c>
      <c r="L13" s="3">
        <f t="shared" ca="1" si="2"/>
        <v>6.4541904306333522E-3</v>
      </c>
    </row>
    <row r="14" spans="2:12" x14ac:dyDescent="0.2">
      <c r="B14" vm="20">
        <f ca="1"/>
        <v>44378</v>
      </c>
      <c r="C14" vm="494">
        <f ca="1"/>
        <v>47.516199999999998</v>
      </c>
      <c r="D14" vm="22">
        <f ca="1"/>
        <v>438.51</v>
      </c>
      <c r="E14" vm="23">
        <f ca="1"/>
        <v>103.67189999999999</v>
      </c>
      <c r="G14" s="3">
        <f t="shared" ca="1" si="0"/>
        <v>1.0849632601656761E-2</v>
      </c>
      <c r="H14" s="3">
        <f t="shared" ca="1" si="0"/>
        <v>2.4412465542213681E-2</v>
      </c>
      <c r="I14" s="3">
        <f t="shared" ca="1" si="0"/>
        <v>2.2341807165826896E-2</v>
      </c>
      <c r="K14" s="3">
        <f t="shared" ca="1" si="1"/>
        <v>-1.1492174564170135E-2</v>
      </c>
      <c r="L14" s="3">
        <f t="shared" ca="1" si="2"/>
        <v>2.0706583763867858E-3</v>
      </c>
    </row>
    <row r="15" spans="2:12" x14ac:dyDescent="0.2">
      <c r="B15" vm="24">
        <f ca="1"/>
        <v>44409</v>
      </c>
      <c r="C15" vm="495">
        <f ca="1"/>
        <v>49.366199999999999</v>
      </c>
      <c r="D15" vm="25">
        <f ca="1"/>
        <v>451.56</v>
      </c>
      <c r="E15" vm="26">
        <f ca="1"/>
        <v>99.406300000000002</v>
      </c>
      <c r="G15" s="3">
        <f t="shared" ca="1" si="0"/>
        <v>3.8934089847252128E-2</v>
      </c>
      <c r="H15" s="3">
        <f t="shared" ca="1" si="0"/>
        <v>2.9759868646097035E-2</v>
      </c>
      <c r="I15" s="3">
        <f t="shared" ca="1" si="0"/>
        <v>-4.1145189776593198E-2</v>
      </c>
      <c r="K15" s="3">
        <f t="shared" ca="1" si="1"/>
        <v>8.0079279623845326E-2</v>
      </c>
      <c r="L15" s="3">
        <f t="shared" ca="1" si="2"/>
        <v>7.0905058422690237E-2</v>
      </c>
    </row>
    <row r="16" spans="2:12" x14ac:dyDescent="0.2">
      <c r="B16" vm="27">
        <f ca="1"/>
        <v>44440</v>
      </c>
      <c r="C16" vm="496">
        <f ca="1"/>
        <v>46.459499999999998</v>
      </c>
      <c r="D16" vm="29">
        <f ca="1"/>
        <v>429.14</v>
      </c>
      <c r="E16" vm="30">
        <f ca="1"/>
        <v>97.703100000000006</v>
      </c>
      <c r="G16" s="3">
        <f t="shared" ca="1" si="0"/>
        <v>-5.8880367538923409E-2</v>
      </c>
      <c r="H16" s="3">
        <f t="shared" ca="1" si="0"/>
        <v>-4.9650101869076126E-2</v>
      </c>
      <c r="I16" s="3">
        <f t="shared" ca="1" si="0"/>
        <v>-1.7133722912934041E-2</v>
      </c>
      <c r="K16" s="3">
        <f t="shared" ca="1" si="1"/>
        <v>-4.1746644625989371E-2</v>
      </c>
      <c r="L16" s="3">
        <f t="shared" ca="1" si="2"/>
        <v>-3.2516378956142081E-2</v>
      </c>
    </row>
    <row r="17" spans="2:12" x14ac:dyDescent="0.2">
      <c r="B17" vm="31">
        <f ca="1"/>
        <v>44470</v>
      </c>
      <c r="C17" vm="497">
        <f ca="1"/>
        <v>49.806199999999997</v>
      </c>
      <c r="D17" vm="33">
        <f ca="1"/>
        <v>459.25</v>
      </c>
      <c r="E17" vm="34">
        <f ca="1"/>
        <v>97.078100000000006</v>
      </c>
      <c r="G17" s="3">
        <f t="shared" ca="1" si="0"/>
        <v>7.2034782983028192E-2</v>
      </c>
      <c r="H17" s="3">
        <f t="shared" ca="1" si="0"/>
        <v>7.0163582979913347E-2</v>
      </c>
      <c r="I17" s="3">
        <f t="shared" ca="1" si="0"/>
        <v>-6.3969311106812365E-3</v>
      </c>
      <c r="K17" s="3">
        <f t="shared" ca="1" si="1"/>
        <v>7.8431714093709429E-2</v>
      </c>
      <c r="L17" s="3">
        <f t="shared" ca="1" si="2"/>
        <v>7.6560514090594584E-2</v>
      </c>
    </row>
    <row r="18" spans="2:12" x14ac:dyDescent="0.2">
      <c r="B18" vm="35">
        <f ca="1"/>
        <v>44501</v>
      </c>
      <c r="C18" vm="498">
        <f ca="1"/>
        <v>46.876199999999997</v>
      </c>
      <c r="D18" vm="37">
        <f ca="1"/>
        <v>455.56</v>
      </c>
      <c r="E18" vm="38">
        <f ca="1"/>
        <v>98.656300000000002</v>
      </c>
      <c r="G18" s="3">
        <f t="shared" ca="1" si="0"/>
        <v>-5.8828017395424662E-2</v>
      </c>
      <c r="H18" s="3">
        <f t="shared" ca="1" si="0"/>
        <v>-8.0348394120849168E-3</v>
      </c>
      <c r="I18" s="3">
        <f t="shared" ca="1" si="0"/>
        <v>1.6257013682797618E-2</v>
      </c>
      <c r="K18" s="3">
        <f t="shared" ca="1" si="1"/>
        <v>-7.5085031078222286E-2</v>
      </c>
      <c r="L18" s="3">
        <f t="shared" ca="1" si="2"/>
        <v>-2.4291853094882535E-2</v>
      </c>
    </row>
    <row r="19" spans="2:12" x14ac:dyDescent="0.2">
      <c r="B19" vm="39">
        <f ca="1"/>
        <v>44531</v>
      </c>
      <c r="C19" vm="499">
        <f ca="1"/>
        <v>48.229500000000002</v>
      </c>
      <c r="D19" vm="41">
        <f ca="1"/>
        <v>474.96</v>
      </c>
      <c r="E19" vm="42">
        <f ca="1"/>
        <v>98.75</v>
      </c>
      <c r="G19" s="3">
        <f t="shared" ca="1" si="0"/>
        <v>2.8869660936680117E-2</v>
      </c>
      <c r="H19" s="3">
        <f t="shared" ca="1" si="0"/>
        <v>4.2584950390727842E-2</v>
      </c>
      <c r="I19" s="3">
        <f t="shared" ca="1" si="0"/>
        <v>9.4976195134014081E-4</v>
      </c>
      <c r="K19" s="3">
        <f t="shared" ca="1" si="1"/>
        <v>2.7919898985339975E-2</v>
      </c>
      <c r="L19" s="3">
        <f t="shared" ca="1" si="2"/>
        <v>4.1635188439387703E-2</v>
      </c>
    </row>
    <row r="20" spans="2:12" x14ac:dyDescent="0.2">
      <c r="B20" vm="43">
        <f ca="1"/>
        <v>44562</v>
      </c>
      <c r="C20" vm="500">
        <f ca="1"/>
        <v>46.602899999999998</v>
      </c>
      <c r="D20" vm="45">
        <f ca="1"/>
        <v>449.91</v>
      </c>
      <c r="E20" vm="46">
        <f ca="1"/>
        <v>96.296899999999994</v>
      </c>
      <c r="G20" s="3">
        <f t="shared" ca="1" si="0"/>
        <v>-3.3726246384474301E-2</v>
      </c>
      <c r="H20" s="3">
        <f t="shared" ca="1" si="0"/>
        <v>-5.2741283476503191E-2</v>
      </c>
      <c r="I20" s="3">
        <f t="shared" ca="1" si="0"/>
        <v>-2.4841518987341837E-2</v>
      </c>
      <c r="K20" s="3">
        <f t="shared" ca="1" si="1"/>
        <v>-8.8847273971324643E-3</v>
      </c>
      <c r="L20" s="3">
        <f t="shared" ca="1" si="2"/>
        <v>-2.7899764489161354E-2</v>
      </c>
    </row>
    <row r="21" spans="2:12" x14ac:dyDescent="0.2">
      <c r="B21" vm="47">
        <f ca="1"/>
        <v>44593</v>
      </c>
      <c r="C21" vm="501">
        <f ca="1"/>
        <v>45.052900000000001</v>
      </c>
      <c r="D21" vm="49">
        <f ca="1"/>
        <v>436.63</v>
      </c>
      <c r="E21" vm="50">
        <f ca="1"/>
        <v>99.75</v>
      </c>
      <c r="G21" s="3">
        <f t="shared" ca="1" si="0"/>
        <v>-3.325973276341166E-2</v>
      </c>
      <c r="H21" s="3">
        <f t="shared" ca="1" si="0"/>
        <v>-2.9517014514013978E-2</v>
      </c>
      <c r="I21" s="3">
        <f t="shared" ca="1" si="0"/>
        <v>3.5858890576955293E-2</v>
      </c>
      <c r="K21" s="3">
        <f t="shared" ca="1" si="1"/>
        <v>-6.9118623340366947E-2</v>
      </c>
      <c r="L21" s="3">
        <f t="shared" ca="1" si="2"/>
        <v>-6.5375905090969272E-2</v>
      </c>
    </row>
    <row r="22" spans="2:12" x14ac:dyDescent="0.2">
      <c r="B22" vm="51">
        <f ca="1"/>
        <v>44621</v>
      </c>
      <c r="C22" vm="502">
        <f ca="1"/>
        <v>49.639499999999998</v>
      </c>
      <c r="D22" vm="53">
        <f ca="1"/>
        <v>451.64</v>
      </c>
      <c r="E22" vm="54">
        <f ca="1"/>
        <v>95.8125</v>
      </c>
      <c r="G22" s="3">
        <f t="shared" ca="1" si="0"/>
        <v>0.10180476728468082</v>
      </c>
      <c r="H22" s="3">
        <f t="shared" ca="1" si="0"/>
        <v>3.4376932414172161E-2</v>
      </c>
      <c r="I22" s="3">
        <f t="shared" ca="1" si="0"/>
        <v>-3.9473684210526314E-2</v>
      </c>
      <c r="K22" s="3">
        <f t="shared" ca="1" si="1"/>
        <v>0.14127845149520712</v>
      </c>
      <c r="L22" s="3">
        <f t="shared" ca="1" si="2"/>
        <v>7.3850616624698467E-2</v>
      </c>
    </row>
    <row r="23" spans="2:12" x14ac:dyDescent="0.2">
      <c r="B23" vm="55">
        <f ca="1"/>
        <v>44652</v>
      </c>
      <c r="C23" vm="503">
        <f ca="1"/>
        <v>50.996200000000002</v>
      </c>
      <c r="D23" vm="57">
        <f ca="1"/>
        <v>412</v>
      </c>
      <c r="E23" vm="58">
        <f ca="1"/>
        <v>91.015600000000006</v>
      </c>
      <c r="G23" s="3">
        <f t="shared" ca="1" si="0"/>
        <v>2.7331056920396127E-2</v>
      </c>
      <c r="H23" s="3">
        <f t="shared" ca="1" si="0"/>
        <v>-8.7769019573111298E-2</v>
      </c>
      <c r="I23" s="3">
        <f t="shared" ca="1" si="0"/>
        <v>-5.0065492498369148E-2</v>
      </c>
      <c r="K23" s="3">
        <f t="shared" ca="1" si="1"/>
        <v>7.7396549418765281E-2</v>
      </c>
      <c r="L23" s="3">
        <f t="shared" ca="1" si="2"/>
        <v>-3.7703527074742151E-2</v>
      </c>
    </row>
    <row r="24" spans="2:12" x14ac:dyDescent="0.2">
      <c r="B24" vm="59">
        <f ca="1"/>
        <v>44682</v>
      </c>
      <c r="C24" vm="504">
        <f ca="1"/>
        <v>42.876199999999997</v>
      </c>
      <c r="D24" vm="61">
        <f ca="1"/>
        <v>412.93</v>
      </c>
      <c r="E24" vm="62">
        <f ca="1"/>
        <v>100.0938</v>
      </c>
      <c r="G24" s="3">
        <f t="shared" ca="1" si="0"/>
        <v>-0.15922755028806077</v>
      </c>
      <c r="H24" s="3">
        <f t="shared" ca="1" si="0"/>
        <v>2.2572815533980746E-3</v>
      </c>
      <c r="I24" s="3">
        <f t="shared" ca="1" si="0"/>
        <v>9.9743340702033445E-2</v>
      </c>
      <c r="K24" s="3">
        <f t="shared" ca="1" si="1"/>
        <v>-0.25897089099009418</v>
      </c>
      <c r="L24" s="3">
        <f t="shared" ca="1" si="2"/>
        <v>-9.7486059148635368E-2</v>
      </c>
    </row>
    <row r="25" spans="2:12" x14ac:dyDescent="0.2">
      <c r="B25" vm="63">
        <f ca="1"/>
        <v>44713</v>
      </c>
      <c r="C25" vm="505">
        <f ca="1"/>
        <v>40.526299999999999</v>
      </c>
      <c r="D25" vm="65">
        <f ca="1"/>
        <v>377.25</v>
      </c>
      <c r="E25" vm="66">
        <f ca="1"/>
        <v>98.796899999999994</v>
      </c>
      <c r="G25" s="3">
        <f t="shared" ca="1" si="0"/>
        <v>-5.4806629318829521E-2</v>
      </c>
      <c r="H25" s="3">
        <f t="shared" ca="1" si="0"/>
        <v>-8.6406897052769244E-2</v>
      </c>
      <c r="I25" s="3">
        <f t="shared" ca="1" si="0"/>
        <v>-1.2956846478003712E-2</v>
      </c>
      <c r="K25" s="3">
        <f t="shared" ca="1" si="1"/>
        <v>-4.1849782840825807E-2</v>
      </c>
      <c r="L25" s="3">
        <f t="shared" ca="1" si="2"/>
        <v>-7.345005057476553E-2</v>
      </c>
    </row>
    <row r="26" spans="2:12" x14ac:dyDescent="0.2">
      <c r="B26" vm="67">
        <f ca="1"/>
        <v>44743</v>
      </c>
      <c r="C26" vm="506">
        <f ca="1"/>
        <v>44.016199999999998</v>
      </c>
      <c r="D26" vm="69">
        <f ca="1"/>
        <v>411.99</v>
      </c>
      <c r="E26" vm="70">
        <f ca="1"/>
        <v>101.7813</v>
      </c>
      <c r="G26" s="3">
        <f t="shared" ca="1" si="0"/>
        <v>8.6114449135499635E-2</v>
      </c>
      <c r="H26" s="3">
        <f t="shared" ca="1" si="0"/>
        <v>9.2087475149105397E-2</v>
      </c>
      <c r="I26" s="3">
        <f t="shared" ca="1" si="0"/>
        <v>3.0207425536631291E-2</v>
      </c>
      <c r="K26" s="3">
        <f t="shared" ca="1" si="1"/>
        <v>5.5907023598868344E-2</v>
      </c>
      <c r="L26" s="3">
        <f t="shared" ca="1" si="2"/>
        <v>6.1880049612474106E-2</v>
      </c>
    </row>
    <row r="27" spans="2:12" x14ac:dyDescent="0.2">
      <c r="B27" vm="71">
        <f ca="1"/>
        <v>44774</v>
      </c>
      <c r="C27" vm="507">
        <f ca="1"/>
        <v>44.182899999999997</v>
      </c>
      <c r="D27" vm="73">
        <f ca="1"/>
        <v>395.18</v>
      </c>
      <c r="E27" vm="74">
        <f ca="1"/>
        <v>96.234399999999994</v>
      </c>
      <c r="G27" s="3">
        <f t="shared" ca="1" si="0"/>
        <v>3.7872419700019254E-3</v>
      </c>
      <c r="H27" s="3">
        <f t="shared" ca="1" si="0"/>
        <v>-4.0801961212650797E-2</v>
      </c>
      <c r="I27" s="3">
        <f t="shared" ca="1" si="0"/>
        <v>-5.4498223151011119E-2</v>
      </c>
      <c r="K27" s="3">
        <f t="shared" ca="1" si="1"/>
        <v>5.8285465121013041E-2</v>
      </c>
      <c r="L27" s="3">
        <f t="shared" ca="1" si="2"/>
        <v>1.3696261938360321E-2</v>
      </c>
    </row>
    <row r="28" spans="2:12" x14ac:dyDescent="0.2">
      <c r="B28" vm="75">
        <f ca="1"/>
        <v>44805</v>
      </c>
      <c r="C28" vm="508">
        <f ca="1"/>
        <v>43.232900000000001</v>
      </c>
      <c r="D28" vm="77">
        <f ca="1"/>
        <v>357.18</v>
      </c>
      <c r="E28" vm="78">
        <f ca="1"/>
        <v>91.203100000000006</v>
      </c>
      <c r="G28" s="3">
        <f t="shared" ca="1" si="0"/>
        <v>-2.150153113534865E-2</v>
      </c>
      <c r="H28" s="3">
        <f t="shared" ca="1" si="0"/>
        <v>-9.615871248544966E-2</v>
      </c>
      <c r="I28" s="3">
        <f t="shared" ca="1" si="0"/>
        <v>-5.2281720465862394E-2</v>
      </c>
      <c r="K28" s="3">
        <f t="shared" ca="1" si="1"/>
        <v>3.0780189330513744E-2</v>
      </c>
      <c r="L28" s="3">
        <f t="shared" ca="1" si="2"/>
        <v>-4.3876992019587266E-2</v>
      </c>
    </row>
    <row r="29" spans="2:12" x14ac:dyDescent="0.2">
      <c r="B29" vm="79">
        <f ca="1"/>
        <v>44835</v>
      </c>
      <c r="C29" vm="509">
        <f ca="1"/>
        <v>47.442900000000002</v>
      </c>
      <c r="D29" vm="81">
        <f ca="1"/>
        <v>386.21</v>
      </c>
      <c r="E29" vm="82">
        <f ca="1"/>
        <v>89.531300000000002</v>
      </c>
      <c r="G29" s="3">
        <f t="shared" ca="1" si="0"/>
        <v>9.737954196919478E-2</v>
      </c>
      <c r="H29" s="3">
        <f t="shared" ca="1" si="0"/>
        <v>8.1275547343076238E-2</v>
      </c>
      <c r="I29" s="3">
        <f t="shared" ca="1" si="0"/>
        <v>-1.8330517274083934E-2</v>
      </c>
      <c r="K29" s="3">
        <f t="shared" ca="1" si="1"/>
        <v>0.11571005924327871</v>
      </c>
      <c r="L29" s="3">
        <f t="shared" ca="1" si="2"/>
        <v>9.9606064617160178E-2</v>
      </c>
    </row>
    <row r="30" spans="2:12" x14ac:dyDescent="0.2">
      <c r="B30" vm="83">
        <f ca="1"/>
        <v>44866</v>
      </c>
      <c r="C30" vm="510">
        <f ca="1"/>
        <v>50.806199999999997</v>
      </c>
      <c r="D30" vm="85">
        <f ca="1"/>
        <v>407.68</v>
      </c>
      <c r="E30" vm="86">
        <f ca="1"/>
        <v>103.1875</v>
      </c>
      <c r="G30" s="3">
        <f t="shared" ca="1" si="0"/>
        <v>7.0891534876662166E-2</v>
      </c>
      <c r="H30" s="3">
        <f t="shared" ca="1" si="0"/>
        <v>5.5591517568162475E-2</v>
      </c>
      <c r="I30" s="3">
        <f t="shared" ca="1" si="0"/>
        <v>0.15252989736550232</v>
      </c>
      <c r="K30" s="3">
        <f t="shared" ca="1" si="1"/>
        <v>-8.1638362488840155E-2</v>
      </c>
      <c r="L30" s="3">
        <f t="shared" ca="1" si="2"/>
        <v>-9.6938379797339852E-2</v>
      </c>
    </row>
    <row r="31" spans="2:12" x14ac:dyDescent="0.2">
      <c r="B31" vm="87">
        <f ca="1"/>
        <v>44896</v>
      </c>
      <c r="C31" vm="511">
        <f ca="1"/>
        <v>47.262900000000002</v>
      </c>
      <c r="D31" vm="89">
        <f ca="1"/>
        <v>382.43</v>
      </c>
      <c r="E31" vm="90">
        <f ca="1"/>
        <v>102</v>
      </c>
      <c r="G31" s="3">
        <f t="shared" ca="1" si="0"/>
        <v>-6.9741488243560731E-2</v>
      </c>
      <c r="H31" s="3">
        <f t="shared" ca="1" si="0"/>
        <v>-6.1935832025117737E-2</v>
      </c>
      <c r="I31" s="3">
        <f t="shared" ca="1" si="0"/>
        <v>-1.1508176862507571E-2</v>
      </c>
      <c r="K31" s="3">
        <f t="shared" ca="1" si="1"/>
        <v>-5.8233311381053157E-2</v>
      </c>
      <c r="L31" s="3">
        <f t="shared" ca="1" si="2"/>
        <v>-5.0427655162610163E-2</v>
      </c>
    </row>
    <row r="32" spans="2:12" x14ac:dyDescent="0.2">
      <c r="B32" vm="91">
        <f ca="1"/>
        <v>44927</v>
      </c>
      <c r="C32" vm="512">
        <f ca="1"/>
        <v>47.956200000000003</v>
      </c>
      <c r="D32" vm="93">
        <f ca="1"/>
        <v>406.48</v>
      </c>
      <c r="E32" vm="94">
        <f ca="1"/>
        <v>104.8438</v>
      </c>
      <c r="G32" s="3">
        <f t="shared" ca="1" si="0"/>
        <v>1.4669011000171395E-2</v>
      </c>
      <c r="H32" s="3">
        <f t="shared" ca="1" si="0"/>
        <v>6.2887325785111026E-2</v>
      </c>
      <c r="I32" s="3">
        <f t="shared" ca="1" si="0"/>
        <v>2.7880392156862763E-2</v>
      </c>
      <c r="K32" s="3">
        <f t="shared" ca="1" si="1"/>
        <v>-1.3211381156691368E-2</v>
      </c>
      <c r="L32" s="3">
        <f t="shared" ca="1" si="2"/>
        <v>3.5006933628248263E-2</v>
      </c>
    </row>
    <row r="33" spans="2:12" x14ac:dyDescent="0.2">
      <c r="B33" vm="95">
        <f ca="1"/>
        <v>44958</v>
      </c>
      <c r="C33" vm="513">
        <f ca="1"/>
        <v>47.376199999999997</v>
      </c>
      <c r="D33" vm="97">
        <f ca="1"/>
        <v>396.26</v>
      </c>
      <c r="E33" vm="98">
        <f ca="1"/>
        <v>96.531300000000002</v>
      </c>
      <c r="G33" s="3">
        <f t="shared" ca="1" si="0"/>
        <v>-1.209436944545242E-2</v>
      </c>
      <c r="H33" s="3">
        <f t="shared" ca="1" si="0"/>
        <v>-2.5142688447156138E-2</v>
      </c>
      <c r="I33" s="3">
        <f t="shared" ca="1" si="0"/>
        <v>-7.9284611965609791E-2</v>
      </c>
      <c r="K33" s="3">
        <f t="shared" ca="1" si="1"/>
        <v>6.7190242520157373E-2</v>
      </c>
      <c r="L33" s="3">
        <f t="shared" ca="1" si="2"/>
        <v>5.414192351845365E-2</v>
      </c>
    </row>
    <row r="34" spans="2:12" x14ac:dyDescent="0.2">
      <c r="B34" vm="99">
        <f ca="1"/>
        <v>44986</v>
      </c>
      <c r="C34" vm="514">
        <f ca="1"/>
        <v>49.149500000000003</v>
      </c>
      <c r="D34" vm="101">
        <f ca="1"/>
        <v>409.39</v>
      </c>
      <c r="E34" vm="102">
        <f ca="1"/>
        <v>100.2188</v>
      </c>
      <c r="G34" s="3">
        <f t="shared" ca="1" si="0"/>
        <v>3.7430186464933998E-2</v>
      </c>
      <c r="H34" s="3">
        <f t="shared" ca="1" si="0"/>
        <v>3.3134810477968998E-2</v>
      </c>
      <c r="I34" s="3">
        <f t="shared" ca="1" si="0"/>
        <v>3.8200044959510543E-2</v>
      </c>
      <c r="K34" s="3">
        <f t="shared" ca="1" si="1"/>
        <v>-7.6985849457654465E-4</v>
      </c>
      <c r="L34" s="3">
        <f t="shared" ca="1" si="2"/>
        <v>-5.0652344815415445E-3</v>
      </c>
    </row>
    <row r="35" spans="2:12" x14ac:dyDescent="0.2">
      <c r="B35" vm="103">
        <f ca="1"/>
        <v>45017</v>
      </c>
      <c r="C35" vm="515">
        <f ca="1"/>
        <v>50.322800000000001</v>
      </c>
      <c r="D35" vm="105">
        <f ca="1"/>
        <v>415.93</v>
      </c>
      <c r="E35" vm="106">
        <f ca="1"/>
        <v>100.42189999999999</v>
      </c>
      <c r="G35" s="3">
        <f t="shared" ca="1" si="0"/>
        <v>2.3872063805328587E-2</v>
      </c>
      <c r="H35" s="3">
        <f t="shared" ca="1" si="0"/>
        <v>1.5974987176042454E-2</v>
      </c>
      <c r="I35" s="3">
        <f t="shared" ca="1" si="0"/>
        <v>2.0265658738678975E-3</v>
      </c>
      <c r="K35" s="3">
        <f t="shared" ca="1" si="1"/>
        <v>2.1845497931460692E-2</v>
      </c>
      <c r="L35" s="3">
        <f t="shared" ca="1" si="2"/>
        <v>1.3948421302174557E-2</v>
      </c>
    </row>
    <row r="36" spans="2:12" x14ac:dyDescent="0.2">
      <c r="B36" vm="107">
        <f ca="1"/>
        <v>45047</v>
      </c>
      <c r="C36" vm="516">
        <f ca="1"/>
        <v>48.956200000000003</v>
      </c>
      <c r="D36" vm="109">
        <f ca="1"/>
        <v>417.85</v>
      </c>
      <c r="E36" vm="110">
        <f ca="1"/>
        <v>97.8125</v>
      </c>
      <c r="G36" s="3">
        <f t="shared" ca="1" si="0"/>
        <v>-2.7156676496538315E-2</v>
      </c>
      <c r="H36" s="3">
        <f t="shared" ca="1" si="0"/>
        <v>4.6161613733080465E-3</v>
      </c>
      <c r="I36" s="3">
        <f t="shared" ca="1" si="0"/>
        <v>-2.5984371934806988E-2</v>
      </c>
      <c r="K36" s="3">
        <f t="shared" ca="1" si="1"/>
        <v>-1.1723045617313271E-3</v>
      </c>
      <c r="L36" s="3">
        <f t="shared" ca="1" si="2"/>
        <v>3.0600533308115033E-2</v>
      </c>
    </row>
    <row r="37" spans="2:12" x14ac:dyDescent="0.2">
      <c r="B37" vm="111">
        <f ca="1"/>
        <v>45078</v>
      </c>
      <c r="C37" vm="517">
        <f ca="1"/>
        <v>52.392800000000001</v>
      </c>
      <c r="D37" vm="113">
        <f ca="1"/>
        <v>443.28</v>
      </c>
      <c r="E37" vm="114">
        <f ca="1"/>
        <v>96.203100000000006</v>
      </c>
      <c r="G37" s="3">
        <f t="shared" ca="1" si="0"/>
        <v>7.0197441794910526E-2</v>
      </c>
      <c r="H37" s="3">
        <f t="shared" ca="1" si="0"/>
        <v>6.0859159985640655E-2</v>
      </c>
      <c r="I37" s="3">
        <f t="shared" ca="1" si="0"/>
        <v>-1.645392971246E-2</v>
      </c>
      <c r="K37" s="3">
        <f t="shared" ca="1" si="1"/>
        <v>8.6651371507370525E-2</v>
      </c>
      <c r="L37" s="3">
        <f t="shared" ca="1" si="2"/>
        <v>7.7313089698100662E-2</v>
      </c>
    </row>
    <row r="38" spans="2:12" x14ac:dyDescent="0.2">
      <c r="B38" vm="115">
        <f ca="1"/>
        <v>45108</v>
      </c>
      <c r="C38" vm="518">
        <f ca="1"/>
        <v>53.286099999999998</v>
      </c>
      <c r="D38" vm="117">
        <f ca="1"/>
        <v>457.79</v>
      </c>
      <c r="E38" vm="118">
        <f ca="1"/>
        <v>95.25</v>
      </c>
      <c r="G38" s="3">
        <f t="shared" ca="1" si="0"/>
        <v>1.7050052678993993E-2</v>
      </c>
      <c r="H38" s="3">
        <f t="shared" ca="1" si="0"/>
        <v>3.273326114419791E-2</v>
      </c>
      <c r="I38" s="3">
        <f t="shared" ca="1" si="0"/>
        <v>-9.9071651537217219E-3</v>
      </c>
      <c r="K38" s="3">
        <f t="shared" ca="1" si="1"/>
        <v>2.6957217832715714E-2</v>
      </c>
      <c r="L38" s="3">
        <f t="shared" ca="1" si="2"/>
        <v>4.2640426297919629E-2</v>
      </c>
    </row>
    <row r="39" spans="2:12" x14ac:dyDescent="0.2">
      <c r="B39" vm="119">
        <f ca="1"/>
        <v>45139</v>
      </c>
      <c r="C39" vm="519">
        <f ca="1"/>
        <v>54.202800000000003</v>
      </c>
      <c r="D39" vm="121">
        <f ca="1"/>
        <v>450.35</v>
      </c>
      <c r="E39" vm="122">
        <f ca="1"/>
        <v>98.0625</v>
      </c>
      <c r="G39" s="3">
        <f t="shared" ca="1" si="0"/>
        <v>1.7203360726343379E-2</v>
      </c>
      <c r="H39" s="3">
        <f t="shared" ca="1" si="0"/>
        <v>-1.6251993272024284E-2</v>
      </c>
      <c r="I39" s="3">
        <f t="shared" ca="1" si="0"/>
        <v>2.952755905511811E-2</v>
      </c>
      <c r="K39" s="3">
        <f t="shared" ca="1" si="1"/>
        <v>-1.2324198328774731E-2</v>
      </c>
      <c r="L39" s="3">
        <f t="shared" ca="1" si="2"/>
        <v>-4.5779552327142398E-2</v>
      </c>
    </row>
    <row r="40" spans="2:12" x14ac:dyDescent="0.2">
      <c r="B40" vm="123">
        <f ca="1"/>
        <v>45170</v>
      </c>
      <c r="C40" vm="520">
        <f ca="1"/>
        <v>53.3095</v>
      </c>
      <c r="D40" vm="125">
        <f ca="1"/>
        <v>427.48</v>
      </c>
      <c r="E40" vm="126">
        <f ca="1"/>
        <v>94.453100000000006</v>
      </c>
      <c r="G40" s="3">
        <f t="shared" ca="1" si="0"/>
        <v>-1.6480698414104131E-2</v>
      </c>
      <c r="H40" s="3">
        <f t="shared" ca="1" si="0"/>
        <v>-5.0782724547574119E-2</v>
      </c>
      <c r="I40" s="3">
        <f t="shared" ca="1" si="0"/>
        <v>-3.6807138304652584E-2</v>
      </c>
      <c r="K40" s="3">
        <f t="shared" ca="1" si="1"/>
        <v>2.0326439890548453E-2</v>
      </c>
      <c r="L40" s="3">
        <f t="shared" ca="1" si="2"/>
        <v>-1.3975586242921535E-2</v>
      </c>
    </row>
    <row r="41" spans="2:12" x14ac:dyDescent="0.2">
      <c r="B41" vm="127">
        <f ca="1"/>
        <v>45200</v>
      </c>
      <c r="C41" vm="521">
        <f ca="1"/>
        <v>54.469499999999996</v>
      </c>
      <c r="D41" vm="129">
        <f ca="1"/>
        <v>418.2</v>
      </c>
      <c r="E41" vm="130">
        <f ca="1"/>
        <v>91.890600000000006</v>
      </c>
      <c r="G41" s="3">
        <f t="shared" ca="1" si="0"/>
        <v>2.1759723876607295E-2</v>
      </c>
      <c r="H41" s="3">
        <f t="shared" ca="1" si="0"/>
        <v>-2.1708617947038527E-2</v>
      </c>
      <c r="I41" s="3">
        <f t="shared" ca="1" si="0"/>
        <v>-2.7129866568699174E-2</v>
      </c>
      <c r="K41" s="3">
        <f t="shared" ca="1" si="1"/>
        <v>4.8889590445306469E-2</v>
      </c>
      <c r="L41" s="3">
        <f t="shared" ca="1" si="2"/>
        <v>5.4212486216606466E-3</v>
      </c>
    </row>
    <row r="42" spans="2:12" x14ac:dyDescent="0.2">
      <c r="B42" vm="131">
        <f ca="1"/>
        <v>45231</v>
      </c>
      <c r="C42" vm="522">
        <f ca="1"/>
        <v>51.896099999999997</v>
      </c>
      <c r="D42" vm="133">
        <f ca="1"/>
        <v>456.4</v>
      </c>
      <c r="E42" vm="134">
        <f ca="1"/>
        <v>102.01560000000001</v>
      </c>
      <c r="G42" s="3">
        <f t="shared" ca="1" si="0"/>
        <v>-4.724478836780216E-2</v>
      </c>
      <c r="H42" s="3">
        <f t="shared" ca="1" si="0"/>
        <v>9.134385461501672E-2</v>
      </c>
      <c r="I42" s="3">
        <f t="shared" ca="1" si="0"/>
        <v>0.11018537260612075</v>
      </c>
      <c r="K42" s="3">
        <f t="shared" ca="1" si="1"/>
        <v>-0.15743016097392293</v>
      </c>
      <c r="L42" s="3">
        <f t="shared" ca="1" si="2"/>
        <v>-1.8841517991104034E-2</v>
      </c>
    </row>
    <row r="43" spans="2:12" x14ac:dyDescent="0.2">
      <c r="B43" vm="135">
        <f ca="1"/>
        <v>45261</v>
      </c>
      <c r="C43" vm="523">
        <f ca="1"/>
        <v>52.549500000000002</v>
      </c>
      <c r="D43" vm="137">
        <f ca="1"/>
        <v>475.31</v>
      </c>
      <c r="E43" vm="138">
        <f ca="1"/>
        <v>105.1563</v>
      </c>
      <c r="G43" s="3">
        <f t="shared" ca="1" si="0"/>
        <v>1.2590541485776482E-2</v>
      </c>
      <c r="H43" s="3">
        <f t="shared" ca="1" si="0"/>
        <v>4.1432953549518023E-2</v>
      </c>
      <c r="I43" s="3">
        <f t="shared" ca="1" si="0"/>
        <v>3.0786467951960241E-2</v>
      </c>
      <c r="K43" s="3">
        <f t="shared" ca="1" si="1"/>
        <v>-1.8195926466183759E-2</v>
      </c>
      <c r="L43" s="3">
        <f t="shared" ca="1" si="2"/>
        <v>1.0646485597557782E-2</v>
      </c>
    </row>
    <row r="44" spans="2:12" x14ac:dyDescent="0.2">
      <c r="B44" vm="139">
        <f ca="1"/>
        <v>45292</v>
      </c>
      <c r="C44" vm="524">
        <f ca="1"/>
        <v>55.082799999999999</v>
      </c>
      <c r="D44" vm="141">
        <f ca="1"/>
        <v>482.88</v>
      </c>
      <c r="E44" vm="142">
        <f ca="1"/>
        <v>103.6875</v>
      </c>
      <c r="G44" s="3">
        <f t="shared" ca="1" si="0"/>
        <v>4.8207880189154929E-2</v>
      </c>
      <c r="H44" s="3">
        <f t="shared" ca="1" si="0"/>
        <v>1.5926448002356344E-2</v>
      </c>
      <c r="I44" s="3">
        <f t="shared" ca="1" si="0"/>
        <v>-1.3967779391249041E-2</v>
      </c>
      <c r="K44" s="3">
        <f t="shared" ca="1" si="1"/>
        <v>6.2175659580403969E-2</v>
      </c>
      <c r="L44" s="3">
        <f t="shared" ca="1" si="2"/>
        <v>2.9894227393605387E-2</v>
      </c>
    </row>
    <row r="45" spans="2:12" x14ac:dyDescent="0.2">
      <c r="B45" vm="143">
        <f ca="1"/>
        <v>45323</v>
      </c>
      <c r="C45" vm="525">
        <f ca="1"/>
        <v>58.61</v>
      </c>
      <c r="D45" vm="145">
        <f ca="1"/>
        <v>508.08</v>
      </c>
      <c r="E45" vm="146">
        <f ca="1"/>
        <v>97.875</v>
      </c>
      <c r="G45" s="3">
        <f t="shared" ca="1" si="0"/>
        <v>6.4034508049699734E-2</v>
      </c>
      <c r="H45" s="3">
        <f t="shared" ca="1" si="0"/>
        <v>5.2186878727634174E-2</v>
      </c>
      <c r="I45" s="3">
        <f t="shared" ca="1" si="0"/>
        <v>-5.6057866184448461E-2</v>
      </c>
      <c r="K45" s="3">
        <f t="shared" ca="1" si="1"/>
        <v>0.1200923742341482</v>
      </c>
      <c r="L45" s="3">
        <f t="shared" ca="1" si="2"/>
        <v>0.10824474491208264</v>
      </c>
    </row>
    <row r="46" spans="2:12" x14ac:dyDescent="0.2">
      <c r="B46" vm="147">
        <f ca="1"/>
        <v>45352</v>
      </c>
      <c r="C46" vm="526">
        <f ca="1"/>
        <v>60.17</v>
      </c>
      <c r="D46" vm="149">
        <f ca="1"/>
        <v>523.07000000000005</v>
      </c>
      <c r="E46" vm="150">
        <f ca="1"/>
        <v>98.468800000000002</v>
      </c>
      <c r="G46" s="3">
        <f t="shared" ca="1" si="0"/>
        <v>2.6616618324518039E-2</v>
      </c>
      <c r="H46" s="3">
        <f t="shared" ca="1" si="0"/>
        <v>2.9503227838135856E-2</v>
      </c>
      <c r="I46" s="3">
        <f t="shared" ca="1" si="0"/>
        <v>6.0669220945083185E-3</v>
      </c>
      <c r="K46" s="3">
        <f t="shared" ca="1" si="1"/>
        <v>2.0549696230009719E-2</v>
      </c>
      <c r="L46" s="3">
        <f t="shared" ca="1" si="2"/>
        <v>2.3436305743627539E-2</v>
      </c>
    </row>
    <row r="47" spans="2:12" x14ac:dyDescent="0.2">
      <c r="B47" vm="151">
        <f ca="1"/>
        <v>45383</v>
      </c>
      <c r="C47" vm="527">
        <f ca="1"/>
        <v>59.35</v>
      </c>
      <c r="D47" vm="153">
        <f ca="1"/>
        <v>501.98</v>
      </c>
      <c r="E47" vm="154">
        <f ca="1"/>
        <v>94.6875</v>
      </c>
      <c r="G47" s="3">
        <f t="shared" ca="1" si="0"/>
        <v>-1.362805384743228E-2</v>
      </c>
      <c r="H47" s="3">
        <f t="shared" ca="1" si="0"/>
        <v>-4.031965128950242E-2</v>
      </c>
      <c r="I47" s="3">
        <f t="shared" ca="1" si="0"/>
        <v>-3.8400996051541215E-2</v>
      </c>
      <c r="K47" s="3">
        <f t="shared" ca="1" si="1"/>
        <v>2.4772942204108937E-2</v>
      </c>
      <c r="L47" s="3">
        <f t="shared" ca="1" si="2"/>
        <v>-1.9186552379612046E-3</v>
      </c>
    </row>
    <row r="48" spans="2:12" x14ac:dyDescent="0.2">
      <c r="B48" vm="155">
        <f ca="1"/>
        <v>45413</v>
      </c>
      <c r="C48" vm="528">
        <f ca="1"/>
        <v>65.760000000000005</v>
      </c>
      <c r="D48" vm="157">
        <f ca="1"/>
        <v>527.37</v>
      </c>
      <c r="E48" vm="158">
        <f ca="1"/>
        <v>98.984399999999994</v>
      </c>
      <c r="G48" s="3">
        <f t="shared" ca="1" si="0"/>
        <v>0.10800336983993267</v>
      </c>
      <c r="H48" s="3">
        <f t="shared" ca="1" si="0"/>
        <v>5.0579704370692029E-2</v>
      </c>
      <c r="I48" s="3">
        <f t="shared" ca="1" si="0"/>
        <v>4.5379801980197955E-2</v>
      </c>
      <c r="K48" s="3">
        <f t="shared" ca="1" si="1"/>
        <v>6.2623567859734719E-2</v>
      </c>
      <c r="L48" s="3">
        <f t="shared" ca="1" si="2"/>
        <v>5.1999023904940739E-3</v>
      </c>
    </row>
    <row r="49" spans="2:12" x14ac:dyDescent="0.2">
      <c r="B49" vm="159">
        <f ca="1"/>
        <v>45444</v>
      </c>
      <c r="C49" vm="529">
        <f ca="1"/>
        <v>67.709999999999994</v>
      </c>
      <c r="D49" vm="161">
        <f ca="1"/>
        <v>544.22</v>
      </c>
      <c r="E49" vm="162">
        <f ca="1"/>
        <v>99.671899999999994</v>
      </c>
      <c r="G49" s="3">
        <f t="shared" ca="1" si="0"/>
        <v>2.9653284671532672E-2</v>
      </c>
      <c r="H49" s="3">
        <f t="shared" ca="1" si="0"/>
        <v>3.1951002142708199E-2</v>
      </c>
      <c r="I49" s="3">
        <f t="shared" ca="1" si="0"/>
        <v>6.9455388929972805E-3</v>
      </c>
      <c r="K49" s="3">
        <f t="shared" ca="1" si="1"/>
        <v>2.270774577853539E-2</v>
      </c>
      <c r="L49" s="3">
        <f t="shared" ca="1" si="2"/>
        <v>2.5005463249710917E-2</v>
      </c>
    </row>
    <row r="50" spans="2:12" x14ac:dyDescent="0.2">
      <c r="B50" vm="163">
        <f ca="1"/>
        <v>45474</v>
      </c>
      <c r="C50" vm="530">
        <f ca="1"/>
        <v>68.64</v>
      </c>
      <c r="D50" vm="165">
        <f ca="1"/>
        <v>550.80999999999995</v>
      </c>
      <c r="E50" vm="166">
        <f ca="1"/>
        <v>102.5313</v>
      </c>
      <c r="G50" s="3">
        <f t="shared" ca="1" si="0"/>
        <v>1.373504652193187E-2</v>
      </c>
      <c r="H50" s="3">
        <f t="shared" ca="1" si="0"/>
        <v>1.210907353643732E-2</v>
      </c>
      <c r="I50" s="3">
        <f t="shared" ca="1" si="0"/>
        <v>2.8688125740554841E-2</v>
      </c>
      <c r="K50" s="3">
        <f t="shared" ca="1" si="1"/>
        <v>-1.4953079218622971E-2</v>
      </c>
      <c r="L50" s="3">
        <f t="shared" ca="1" si="2"/>
        <v>-1.6579052204117522E-2</v>
      </c>
    </row>
    <row r="51" spans="2:12" x14ac:dyDescent="0.2">
      <c r="B51" vm="167">
        <f ca="1"/>
        <v>45505</v>
      </c>
      <c r="C51" vm="531">
        <f ca="1"/>
        <v>77.23</v>
      </c>
      <c r="D51" vm="169">
        <f ca="1"/>
        <v>563.67999999999995</v>
      </c>
      <c r="E51" vm="170">
        <f ca="1"/>
        <v>99.718800000000002</v>
      </c>
      <c r="G51" s="3">
        <f t="shared" ca="1" si="0"/>
        <v>0.1251456876456877</v>
      </c>
      <c r="H51" s="3">
        <f t="shared" ca="1" si="0"/>
        <v>2.3365588860042495E-2</v>
      </c>
      <c r="I51" s="3">
        <f t="shared" ca="1" si="0"/>
        <v>-2.7430648006998837E-2</v>
      </c>
      <c r="K51" s="3">
        <f t="shared" ca="1" si="1"/>
        <v>0.15257633565268655</v>
      </c>
      <c r="L51" s="3">
        <f t="shared" ca="1" si="2"/>
        <v>5.0796236867041336E-2</v>
      </c>
    </row>
    <row r="52" spans="2:12" x14ac:dyDescent="0.2">
      <c r="B52" vm="171">
        <f ca="1"/>
        <v>45536</v>
      </c>
      <c r="C52" vm="532">
        <f ca="1"/>
        <v>80.75</v>
      </c>
      <c r="D52" vm="173">
        <f ca="1"/>
        <v>573.76</v>
      </c>
      <c r="E52" vm="174">
        <f ca="1"/>
        <v>100.79689999999999</v>
      </c>
      <c r="G52" s="3">
        <f t="shared" ca="1" si="0"/>
        <v>4.5578143208597641E-2</v>
      </c>
      <c r="H52" s="3">
        <f t="shared" ca="1" si="0"/>
        <v>1.7882486517172939E-2</v>
      </c>
      <c r="I52" s="3">
        <f t="shared" ca="1" si="0"/>
        <v>1.081140166147198E-2</v>
      </c>
      <c r="K52" s="3">
        <f t="shared" ca="1" si="1"/>
        <v>3.4766741547125661E-2</v>
      </c>
      <c r="L52" s="3">
        <f t="shared" ca="1" si="2"/>
        <v>7.0710848557009598E-3</v>
      </c>
    </row>
    <row r="53" spans="2:12" x14ac:dyDescent="0.2">
      <c r="B53" vm="175">
        <f ca="1"/>
        <v>45566</v>
      </c>
      <c r="C53" vm="533">
        <f ca="1"/>
        <v>81.95</v>
      </c>
      <c r="D53" vm="177">
        <f ca="1"/>
        <v>568.64</v>
      </c>
      <c r="E53" vm="178">
        <f ca="1"/>
        <v>96.718800000000002</v>
      </c>
      <c r="G53" s="3">
        <f t="shared" ca="1" si="0"/>
        <v>1.4860681114551119E-2</v>
      </c>
      <c r="H53" s="3">
        <f t="shared" ca="1" si="0"/>
        <v>-8.9235917456776427E-3</v>
      </c>
      <c r="I53" s="3">
        <f t="shared" ca="1" si="0"/>
        <v>-4.0458585531896241E-2</v>
      </c>
      <c r="K53" s="3">
        <f t="shared" ca="1" si="1"/>
        <v>5.531926664644736E-2</v>
      </c>
      <c r="L53" s="3">
        <f t="shared" ca="1" si="2"/>
        <v>3.1534993786218601E-2</v>
      </c>
    </row>
    <row r="54" spans="2:12" x14ac:dyDescent="0.2">
      <c r="B54" vm="179">
        <f ca="1"/>
        <v>45597</v>
      </c>
      <c r="C54" vm="534">
        <f ca="1"/>
        <v>92.5</v>
      </c>
      <c r="D54" vm="181">
        <f ca="1"/>
        <v>602.54999999999995</v>
      </c>
      <c r="E54" vm="182">
        <f ca="1"/>
        <v>100.57810000000001</v>
      </c>
      <c r="G54" s="3">
        <f t="shared" ca="1" si="0"/>
        <v>0.12873703477730319</v>
      </c>
      <c r="H54" s="3">
        <f t="shared" ca="1" si="0"/>
        <v>5.9633511536297076E-2</v>
      </c>
      <c r="I54" s="3">
        <f t="shared" ca="1" si="0"/>
        <v>3.990227339462446E-2</v>
      </c>
      <c r="K54" s="3">
        <f t="shared" ca="1" si="1"/>
        <v>8.8834761382678734E-2</v>
      </c>
      <c r="L54" s="3">
        <f t="shared" ca="1" si="2"/>
        <v>1.9731238141672616E-2</v>
      </c>
    </row>
    <row r="55" spans="2:12" x14ac:dyDescent="0.2">
      <c r="B55" vm="183">
        <f ca="1"/>
        <v>45627</v>
      </c>
      <c r="C55" vm="535">
        <f ca="1"/>
        <v>90.35</v>
      </c>
      <c r="D55" vm="185">
        <f ca="1"/>
        <v>586.08000000000004</v>
      </c>
      <c r="E55" vm="186">
        <f ca="1"/>
        <v>97.453100000000006</v>
      </c>
      <c r="G55" s="3">
        <f t="shared" ca="1" si="0"/>
        <v>-2.3243243243243304E-2</v>
      </c>
      <c r="H55" s="3">
        <f t="shared" ca="1" si="0"/>
        <v>-2.7333831217326222E-2</v>
      </c>
      <c r="I55" s="3">
        <f t="shared" ca="1" si="0"/>
        <v>-3.1070382120958737E-2</v>
      </c>
      <c r="K55" s="3">
        <f t="shared" ca="1" si="1"/>
        <v>7.8271388777154324E-3</v>
      </c>
      <c r="L55" s="3">
        <f t="shared" ca="1" si="2"/>
        <v>3.7365509036325142E-3</v>
      </c>
    </row>
    <row r="56" spans="2:12" x14ac:dyDescent="0.2">
      <c r="B56" vm="187">
        <f ca="1"/>
        <v>45658</v>
      </c>
      <c r="C56" vm="536">
        <f ca="1"/>
        <v>98.16</v>
      </c>
      <c r="D56" vm="189">
        <f ca="1"/>
        <v>601.82000000000005</v>
      </c>
      <c r="E56" vm="30">
        <f ca="1"/>
        <v>97.703100000000006</v>
      </c>
      <c r="G56" s="3">
        <f t="shared" ca="1" si="0"/>
        <v>8.6441615938018843E-2</v>
      </c>
      <c r="H56" s="3">
        <f t="shared" ca="1" si="0"/>
        <v>2.6856401856401872E-2</v>
      </c>
      <c r="I56" s="3">
        <f t="shared" ca="1" si="0"/>
        <v>2.5653365567642281E-3</v>
      </c>
      <c r="K56" s="3">
        <f t="shared" ca="1" si="1"/>
        <v>8.3876279381254609E-2</v>
      </c>
      <c r="L56" s="3">
        <f t="shared" ca="1" si="2"/>
        <v>2.4291065299637642E-2</v>
      </c>
    </row>
    <row r="57" spans="2:12" x14ac:dyDescent="0.2">
      <c r="B57" vm="190">
        <f ca="1"/>
        <v>45689</v>
      </c>
      <c r="C57" vm="537">
        <f ca="1"/>
        <v>98.61</v>
      </c>
      <c r="D57" vm="192">
        <f ca="1"/>
        <v>594.17999999999995</v>
      </c>
      <c r="E57" vm="193">
        <f ca="1"/>
        <v>103.4063</v>
      </c>
      <c r="G57" s="3">
        <f t="shared" ca="1" si="0"/>
        <v>4.5843520782396377E-3</v>
      </c>
      <c r="H57" s="3">
        <f t="shared" ca="1" si="0"/>
        <v>-1.2694825695390814E-2</v>
      </c>
      <c r="I57" s="3">
        <f t="shared" ca="1" si="0"/>
        <v>5.8372764016699524E-2</v>
      </c>
      <c r="K57" s="3">
        <f t="shared" ca="1" si="1"/>
        <v>-5.3788411938459887E-2</v>
      </c>
      <c r="L57" s="3">
        <f t="shared" ca="1" si="2"/>
        <v>-7.1067589712090345E-2</v>
      </c>
    </row>
    <row r="58" spans="2:12" x14ac:dyDescent="0.2">
      <c r="B58" vm="194">
        <f ca="1"/>
        <v>45717</v>
      </c>
      <c r="C58" vm="538">
        <f ca="1"/>
        <v>87.79</v>
      </c>
      <c r="D58" vm="195">
        <f ca="1"/>
        <v>559.39</v>
      </c>
      <c r="E58" vm="196">
        <f ca="1"/>
        <v>103.32810000000001</v>
      </c>
      <c r="G58" s="3">
        <f t="shared" ca="1" si="0"/>
        <v>-0.10972518000202812</v>
      </c>
      <c r="H58" s="3">
        <f t="shared" ca="1" si="0"/>
        <v>-5.8551280756673006E-2</v>
      </c>
      <c r="I58" s="3">
        <f t="shared" ca="1" si="0"/>
        <v>-7.5624019039454446E-4</v>
      </c>
      <c r="K58" s="3">
        <f t="shared" ca="1" si="1"/>
        <v>-0.10896893981163358</v>
      </c>
      <c r="L58" s="3">
        <f t="shared" ca="1" si="2"/>
        <v>-5.7795040566278461E-2</v>
      </c>
    </row>
    <row r="59" spans="2:12" x14ac:dyDescent="0.2">
      <c r="B59" vm="197">
        <f ca="1"/>
        <v>45748</v>
      </c>
      <c r="C59" vm="539">
        <f ca="1"/>
        <v>97.25</v>
      </c>
      <c r="D59" vm="199">
        <f ca="1"/>
        <v>554.54</v>
      </c>
      <c r="E59" vm="200">
        <f ca="1"/>
        <v>103.5313</v>
      </c>
      <c r="G59" s="3">
        <f t="shared" ca="1" si="0"/>
        <v>0.10775714773892235</v>
      </c>
      <c r="H59" s="3">
        <f t="shared" ca="1" si="0"/>
        <v>-8.6701585655804044E-3</v>
      </c>
      <c r="I59" s="3">
        <f t="shared" ca="1" si="0"/>
        <v>1.9665512092063571E-3</v>
      </c>
      <c r="K59" s="3">
        <f t="shared" ca="1" si="1"/>
        <v>0.10579059652971599</v>
      </c>
      <c r="L59" s="3">
        <f t="shared" ca="1" si="2"/>
        <v>-1.0636709774786762E-2</v>
      </c>
    </row>
    <row r="60" spans="2:12" x14ac:dyDescent="0.2">
      <c r="B60" vm="201">
        <f ca="1"/>
        <v>45778</v>
      </c>
      <c r="C60" vm="540">
        <f ca="1"/>
        <v>98.72</v>
      </c>
      <c r="D60" vm="203">
        <f ca="1"/>
        <v>589.39</v>
      </c>
      <c r="E60" vm="204">
        <f ca="1"/>
        <v>98.8125</v>
      </c>
      <c r="G60" s="3">
        <f t="shared" ca="1" si="0"/>
        <v>1.5115681233933149E-2</v>
      </c>
      <c r="H60" s="3">
        <f t="shared" ca="1" si="0"/>
        <v>6.284488044144701E-2</v>
      </c>
      <c r="I60" s="3">
        <f t="shared" ca="1" si="0"/>
        <v>-4.5578486892369763E-2</v>
      </c>
      <c r="K60" s="3">
        <f t="shared" ca="1" si="1"/>
        <v>6.0694168126302912E-2</v>
      </c>
      <c r="L60" s="3">
        <f t="shared" ca="1" si="2"/>
        <v>0.10842336733381677</v>
      </c>
    </row>
    <row r="61" spans="2:12" x14ac:dyDescent="0.2">
      <c r="B61" vm="205">
        <f ca="1"/>
        <v>45809</v>
      </c>
      <c r="C61" vm="541">
        <f ca="1"/>
        <v>97.78</v>
      </c>
      <c r="D61" vm="207">
        <f ca="1"/>
        <v>617.85</v>
      </c>
      <c r="E61" vm="15">
        <f ca="1"/>
        <v>100.14060000000001</v>
      </c>
      <c r="G61" s="3">
        <f t="shared" ca="1" si="0"/>
        <v>-9.5218800648297994E-3</v>
      </c>
      <c r="H61" s="3">
        <f t="shared" ca="1" si="0"/>
        <v>4.828721220244666E-2</v>
      </c>
      <c r="I61" s="3">
        <f t="shared" ca="1" si="0"/>
        <v>1.3440607210626249E-2</v>
      </c>
      <c r="K61" s="3">
        <f t="shared" ca="1" si="1"/>
        <v>-2.2962487275456051E-2</v>
      </c>
      <c r="L61" s="3">
        <f t="shared" ca="1" si="2"/>
        <v>3.4846604991820407E-2</v>
      </c>
    </row>
    <row r="62" spans="2:12" x14ac:dyDescent="0.2">
      <c r="B62" vm="208">
        <f ca="1"/>
        <v>45839</v>
      </c>
      <c r="C62" vm="542">
        <f ca="1"/>
        <v>97.98</v>
      </c>
      <c r="D62" vm="210">
        <f ca="1"/>
        <v>632.08000000000004</v>
      </c>
      <c r="E62" vm="211">
        <f ca="1"/>
        <v>98.953100000000006</v>
      </c>
      <c r="G62" s="3">
        <f t="shared" ca="1" si="0"/>
        <v>2.0454080589077813E-3</v>
      </c>
      <c r="H62" s="3">
        <f t="shared" ca="1" si="0"/>
        <v>2.3031480132718326E-2</v>
      </c>
      <c r="I62" s="3">
        <f t="shared" ca="1" si="0"/>
        <v>-1.1858327191968093E-2</v>
      </c>
      <c r="K62" s="3">
        <f t="shared" ca="1" si="1"/>
        <v>1.3903735250875874E-2</v>
      </c>
      <c r="L62" s="3">
        <f t="shared" ca="1" si="2"/>
        <v>3.4889807324686418E-2</v>
      </c>
    </row>
    <row r="63" spans="2:12" x14ac:dyDescent="0.2">
      <c r="B63" vm="212">
        <f ca="1"/>
        <v>45870</v>
      </c>
      <c r="C63" vm="543">
        <f ca="1"/>
        <v>96.98</v>
      </c>
      <c r="D63" vm="214">
        <f ca="1"/>
        <v>645.04999999999995</v>
      </c>
      <c r="E63" vm="15">
        <f ca="1"/>
        <v>100.14060000000001</v>
      </c>
      <c r="G63" s="3">
        <f t="shared" ca="1" si="0"/>
        <v>-1.0206164523372117E-2</v>
      </c>
      <c r="H63" s="3">
        <f t="shared" ca="1" si="0"/>
        <v>2.051955448677369E-2</v>
      </c>
      <c r="I63" s="3">
        <f t="shared" ca="1" si="0"/>
        <v>1.2000634644088966E-2</v>
      </c>
      <c r="K63" s="3">
        <f t="shared" ca="1" si="1"/>
        <v>-2.2206799167461082E-2</v>
      </c>
      <c r="L63" s="3">
        <f t="shared" ca="1" si="2"/>
        <v>8.5189198426847239E-3</v>
      </c>
    </row>
    <row r="64" spans="2:12" x14ac:dyDescent="0.2">
      <c r="B64" vm="215">
        <f ca="1"/>
        <v>45901</v>
      </c>
      <c r="C64" vm="544">
        <f ca="1"/>
        <v>103.06</v>
      </c>
      <c r="D64" vm="217">
        <f ca="1"/>
        <v>666.18</v>
      </c>
      <c r="E64" vm="218">
        <f ca="1"/>
        <v>100.75</v>
      </c>
      <c r="G64" s="3">
        <f t="shared" ca="1" si="0"/>
        <v>6.2693338832748996E-2</v>
      </c>
      <c r="H64" s="3">
        <f t="shared" ca="1" si="0"/>
        <v>3.275715060847996E-2</v>
      </c>
      <c r="I64" s="3">
        <f t="shared" ca="1" si="0"/>
        <v>6.085443865924447E-3</v>
      </c>
      <c r="K64" s="3">
        <f t="shared" ca="1" si="1"/>
        <v>5.660789496682455E-2</v>
      </c>
      <c r="L64" s="3">
        <f t="shared" ca="1" si="2"/>
        <v>2.6671706742555513E-2</v>
      </c>
    </row>
    <row r="65" spans="2:12" x14ac:dyDescent="0.2">
      <c r="B65" vm="219">
        <f ca="1"/>
        <v>45931</v>
      </c>
      <c r="C65" vm="545">
        <f ca="1"/>
        <v>101.18</v>
      </c>
      <c r="D65" vm="221">
        <f ca="1"/>
        <v>682.06</v>
      </c>
      <c r="E65" vm="222">
        <f ca="1"/>
        <v>101.32810000000001</v>
      </c>
      <c r="G65" s="3">
        <f t="shared" ca="1" si="0"/>
        <v>-1.8241800892683829E-2</v>
      </c>
      <c r="H65" s="3">
        <f t="shared" ca="1" si="0"/>
        <v>2.3837401302951148E-2</v>
      </c>
      <c r="I65" s="3">
        <f t="shared" ca="1" si="0"/>
        <v>5.7379652605459679E-3</v>
      </c>
      <c r="K65" s="3">
        <f t="shared" ca="1" si="1"/>
        <v>-2.3979766153229796E-2</v>
      </c>
      <c r="L65" s="3">
        <f t="shared" ca="1" si="2"/>
        <v>1.809943604240518E-2</v>
      </c>
    </row>
    <row r="66" spans="2:12" x14ac:dyDescent="0.2">
      <c r="B66" vm="223">
        <f ca="1"/>
        <v>45962</v>
      </c>
      <c r="C66" vm="546">
        <f ca="1"/>
        <v>110.51</v>
      </c>
      <c r="D66" vm="225">
        <f ca="1"/>
        <v>683.39</v>
      </c>
      <c r="E66" vm="226">
        <f ca="1"/>
        <v>99.859399999999994</v>
      </c>
      <c r="G66" s="3">
        <f t="shared" ca="1" si="0"/>
        <v>9.2211899584898172E-2</v>
      </c>
      <c r="H66" s="3">
        <f t="shared" ca="1" si="0"/>
        <v>1.9499750755066138E-3</v>
      </c>
      <c r="I66" s="3">
        <f t="shared" ca="1" si="0"/>
        <v>-1.4494498564564149E-2</v>
      </c>
      <c r="K66" s="3">
        <f t="shared" ca="1" si="1"/>
        <v>0.10670639814946233</v>
      </c>
      <c r="L66" s="3">
        <f t="shared" ca="1" si="2"/>
        <v>1.6444473640070761E-2</v>
      </c>
    </row>
    <row r="67" spans="2:12" x14ac:dyDescent="0.2">
      <c r="B67" vm="227">
        <f ca="1"/>
        <v>45992</v>
      </c>
      <c r="C67" vm="547">
        <f ca="1"/>
        <v>111.41</v>
      </c>
      <c r="D67" vm="229">
        <f ca="1"/>
        <v>681.92</v>
      </c>
      <c r="E67" vm="230">
        <f ca="1"/>
        <v>98.6875</v>
      </c>
      <c r="G67" s="3">
        <f t="shared" ca="1" si="0"/>
        <v>8.1440593611437108E-3</v>
      </c>
      <c r="H67" s="3">
        <f t="shared" ca="1" si="0"/>
        <v>-2.151041133174362E-3</v>
      </c>
      <c r="I67" s="3">
        <f t="shared" ca="1" si="0"/>
        <v>-1.1735500113159039E-2</v>
      </c>
      <c r="K67" s="3">
        <f t="shared" ca="1" si="1"/>
        <v>1.9879559474302748E-2</v>
      </c>
      <c r="L67" s="3">
        <f t="shared" ca="1" si="2"/>
        <v>9.5844589799846773E-3</v>
      </c>
    </row>
    <row r="68" spans="2:12" x14ac:dyDescent="0.2">
      <c r="B68" vm="231">
        <f ca="1"/>
        <v>46023</v>
      </c>
      <c r="C68" vm="548">
        <f ca="1"/>
        <v>119.14</v>
      </c>
      <c r="D68" vm="233">
        <f ca="1"/>
        <v>691.97</v>
      </c>
      <c r="E68" vm="234">
        <f ca="1"/>
        <v>98.078100000000006</v>
      </c>
      <c r="G68" s="3">
        <f t="shared" ca="1" si="0"/>
        <v>6.9383358764922395E-2</v>
      </c>
      <c r="H68" s="3">
        <f t="shared" ca="1" si="0"/>
        <v>1.4737799155326239E-2</v>
      </c>
      <c r="I68" s="3">
        <f t="shared" ca="1" si="0"/>
        <v>-6.1750474984166555E-3</v>
      </c>
      <c r="K68" s="3">
        <f t="shared" ca="1" si="1"/>
        <v>7.5558406263339054E-2</v>
      </c>
      <c r="L68" s="3">
        <f t="shared" ca="1" si="2"/>
        <v>2.0912846653742895E-2</v>
      </c>
    </row>
    <row r="69" spans="2:12" x14ac:dyDescent="0.2">
      <c r="B69" vm="235">
        <f ca="1"/>
        <v>46054</v>
      </c>
      <c r="C69" vm="549">
        <f ca="1"/>
        <v>127.95</v>
      </c>
      <c r="D69" vm="237">
        <f ca="1"/>
        <v>685.99</v>
      </c>
      <c r="E69" vm="238">
        <f ca="1"/>
        <v>101.4375</v>
      </c>
      <c r="G69" s="3">
        <f t="shared" ca="1" si="0"/>
        <v>7.3946617424878319E-2</v>
      </c>
      <c r="H69" s="3">
        <f t="shared" ca="1" si="0"/>
        <v>-8.6419931499920784E-3</v>
      </c>
      <c r="I69" s="3">
        <f t="shared" ca="1" si="0"/>
        <v>3.4252294854814617E-2</v>
      </c>
      <c r="K69" s="3">
        <f t="shared" ca="1" si="1"/>
        <v>3.9694322570063702E-2</v>
      </c>
      <c r="L69" s="3">
        <f t="shared" ca="1" si="2"/>
        <v>-4.2894288004806699E-2</v>
      </c>
    </row>
    <row r="70" spans="2:12" x14ac:dyDescent="0.2">
      <c r="B70" vm="239">
        <f ca="1"/>
        <v>46082</v>
      </c>
      <c r="C70" vm="550">
        <f ca="1"/>
        <v>126.52</v>
      </c>
      <c r="D70" vm="241">
        <f ca="1"/>
        <v>662.29</v>
      </c>
      <c r="E70" vm="242">
        <f ca="1"/>
        <v>98.734399999999994</v>
      </c>
      <c r="G70" s="3">
        <f t="shared" ca="1" si="0"/>
        <v>-1.1176240719030924E-2</v>
      </c>
      <c r="H70" s="3">
        <f t="shared" ca="1" si="0"/>
        <v>-3.4548608580300073E-2</v>
      </c>
      <c r="I70" s="3">
        <f t="shared" ca="1" si="0"/>
        <v>-2.6647935921133764E-2</v>
      </c>
      <c r="K70" s="3">
        <f t="shared" ca="1" si="1"/>
        <v>1.547169520210284E-2</v>
      </c>
      <c r="L70" s="3">
        <f t="shared" ca="1" si="2"/>
        <v>-7.9006726591663093E-3</v>
      </c>
    </row>
  </sheetData>
  <pageMargins left="0.7" right="0.7" top="0.75" bottom="0.75" header="0.3" footer="0.3"/>
  <pageSetup orientation="portrait" horizontalDpi="0"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CAAB9-D89A-4414-AD00-B4B43210DC7B}">
  <dimension ref="B2:L70"/>
  <sheetViews>
    <sheetView showGridLines="0" workbookViewId="0">
      <selection activeCell="B3" sqref="B3"/>
    </sheetView>
  </sheetViews>
  <sheetFormatPr baseColWidth="10" defaultColWidth="8.83203125" defaultRowHeight="15" x14ac:dyDescent="0.2"/>
  <cols>
    <col min="2" max="2" width="10.83203125" bestFit="1" customWidth="1"/>
    <col min="3" max="3" width="10.83203125" customWidth="1"/>
    <col min="4" max="4" width="12" bestFit="1" customWidth="1"/>
    <col min="5" max="5" width="10.5" bestFit="1" customWidth="1"/>
    <col min="11" max="11" width="10.5" customWidth="1"/>
  </cols>
  <sheetData>
    <row r="2" spans="2:12" x14ac:dyDescent="0.2">
      <c r="B2" t="e" vm="551">
        <v>#VALUE!</v>
      </c>
      <c r="G2" s="7" t="s">
        <v>238</v>
      </c>
      <c r="H2" s="7">
        <f ca="1">INDEX(LINEST(K11:K70,L11:L70,1,1),1,1)</f>
        <v>1.3673681398900803</v>
      </c>
    </row>
    <row r="3" spans="2:12" x14ac:dyDescent="0.2">
      <c r="B3" t="e" vm="3">
        <v>#VALUE!</v>
      </c>
      <c r="G3" s="7" t="s">
        <v>239</v>
      </c>
      <c r="H3" s="61">
        <f ca="1">INDEX(LINEST(K11:K70,L11:L70,1,1),2,1)</f>
        <v>0.30451879651044039</v>
      </c>
    </row>
    <row r="4" spans="2:12" x14ac:dyDescent="0.2">
      <c r="B4" t="e" vm="1">
        <v>#VALUE!</v>
      </c>
    </row>
    <row r="6" spans="2:12" x14ac:dyDescent="0.2">
      <c r="B6" s="50">
        <v>44256</v>
      </c>
      <c r="C6" s="50"/>
    </row>
    <row r="7" spans="2:12" x14ac:dyDescent="0.2">
      <c r="B7" s="50">
        <v>46082</v>
      </c>
      <c r="C7" s="50"/>
    </row>
    <row r="9" spans="2:12" x14ac:dyDescent="0.2">
      <c r="C9" t="s">
        <v>240</v>
      </c>
      <c r="D9" t="s">
        <v>241</v>
      </c>
      <c r="E9" t="s">
        <v>242</v>
      </c>
    </row>
    <row r="10" spans="2:12" x14ac:dyDescent="0.2">
      <c r="B10" cm="1" vm="4">
        <f t="array" aca="1" ref="B10:C70" ca="1">_xlfn.STOCKHISTORY(B2,$B$6,$B$7,2,0)</f>
        <v>44256</v>
      </c>
      <c r="C10" vm="552">
        <f ca="1"/>
        <v>1472.14</v>
      </c>
      <c r="D10" cm="1" vm="6">
        <f t="array" aca="1" ref="D10:D70" ca="1">_xlfn.STOCKHISTORY(B3,$B$6,$B$7,2,0,1)</f>
        <v>396.33</v>
      </c>
      <c r="E10" cm="1" vm="7">
        <f t="array" aca="1" ref="E10:E70" ca="1">_xlfn.STOCKHISTORY(B4,$B$6,$B$7,2,0,1)</f>
        <v>94.484399999999994</v>
      </c>
      <c r="G10" t="s">
        <v>243</v>
      </c>
      <c r="H10" t="s">
        <v>244</v>
      </c>
      <c r="I10" t="s">
        <v>245</v>
      </c>
      <c r="K10" t="s">
        <v>246</v>
      </c>
      <c r="L10" t="s">
        <v>247</v>
      </c>
    </row>
    <row r="11" spans="2:12" x14ac:dyDescent="0.2">
      <c r="B11" vm="8">
        <f ca="1"/>
        <v>44287</v>
      </c>
      <c r="C11" vm="553">
        <f ca="1"/>
        <v>1570.98</v>
      </c>
      <c r="D11" vm="10">
        <f ca="1"/>
        <v>417.3</v>
      </c>
      <c r="E11" vm="11">
        <f ca="1"/>
        <v>95.484399999999994</v>
      </c>
      <c r="G11" s="3">
        <f ca="1">(C11-C10)/C10</f>
        <v>6.7140353498987809E-2</v>
      </c>
      <c r="H11" s="3">
        <f ca="1">(D11-D10)/D10</f>
        <v>5.291045341003716E-2</v>
      </c>
      <c r="I11" s="3">
        <f ca="1">(E11-E10)/E10</f>
        <v>1.0583757742018789E-2</v>
      </c>
      <c r="K11" s="3">
        <f ca="1">G11-I11</f>
        <v>5.6556595756969016E-2</v>
      </c>
      <c r="L11" s="3">
        <f ca="1">H11-I11</f>
        <v>4.2326695668018374E-2</v>
      </c>
    </row>
    <row r="12" spans="2:12" x14ac:dyDescent="0.2">
      <c r="B12" vm="12">
        <f ca="1"/>
        <v>44317</v>
      </c>
      <c r="C12" vm="554">
        <f ca="1"/>
        <v>1358.67</v>
      </c>
      <c r="D12" vm="14">
        <f ca="1"/>
        <v>420.04</v>
      </c>
      <c r="E12" vm="15">
        <f ca="1"/>
        <v>100.14060000000001</v>
      </c>
      <c r="G12" s="3">
        <f t="shared" ref="G12:I70" ca="1" si="0">(C12-C11)/C11</f>
        <v>-0.13514494137417404</v>
      </c>
      <c r="H12" s="3">
        <f t="shared" ca="1" si="0"/>
        <v>6.566019650131821E-3</v>
      </c>
      <c r="I12" s="3">
        <f t="shared" ca="1" si="0"/>
        <v>4.8763986577912338E-2</v>
      </c>
      <c r="K12" s="3">
        <f t="shared" ref="K12:K70" ca="1" si="1">G12-I12</f>
        <v>-0.18390892795208638</v>
      </c>
      <c r="L12" s="3">
        <f t="shared" ref="L12:L70" ca="1" si="2">H12-I12</f>
        <v>-4.2197966927780516E-2</v>
      </c>
    </row>
    <row r="13" spans="2:12" x14ac:dyDescent="0.2">
      <c r="B13" vm="16">
        <f ca="1"/>
        <v>44348</v>
      </c>
      <c r="C13" vm="555">
        <f ca="1"/>
        <v>1557.79</v>
      </c>
      <c r="D13" vm="18">
        <f ca="1"/>
        <v>428.06</v>
      </c>
      <c r="E13" vm="19">
        <f ca="1"/>
        <v>101.4063</v>
      </c>
      <c r="G13" s="3">
        <f t="shared" ca="1" si="0"/>
        <v>0.14655508696004171</v>
      </c>
      <c r="H13" s="3">
        <f t="shared" ca="1" si="0"/>
        <v>1.9093419674316686E-2</v>
      </c>
      <c r="I13" s="3">
        <f t="shared" ca="1" si="0"/>
        <v>1.2639229243683334E-2</v>
      </c>
      <c r="K13" s="3">
        <f t="shared" ca="1" si="1"/>
        <v>0.13391585771635839</v>
      </c>
      <c r="L13" s="3">
        <f t="shared" ca="1" si="2"/>
        <v>6.4541904306333522E-3</v>
      </c>
    </row>
    <row r="14" spans="2:12" x14ac:dyDescent="0.2">
      <c r="B14" vm="20">
        <f ca="1"/>
        <v>44378</v>
      </c>
      <c r="C14" vm="556">
        <f ca="1"/>
        <v>1568.7</v>
      </c>
      <c r="D14" vm="22">
        <f ca="1"/>
        <v>438.51</v>
      </c>
      <c r="E14" vm="23">
        <f ca="1"/>
        <v>103.67189999999999</v>
      </c>
      <c r="G14" s="3">
        <f t="shared" ca="1" si="0"/>
        <v>7.0035113847181467E-3</v>
      </c>
      <c r="H14" s="3">
        <f t="shared" ca="1" si="0"/>
        <v>2.4412465542213681E-2</v>
      </c>
      <c r="I14" s="3">
        <f t="shared" ca="1" si="0"/>
        <v>2.2341807165826896E-2</v>
      </c>
      <c r="K14" s="3">
        <f t="shared" ca="1" si="1"/>
        <v>-1.5338295781108749E-2</v>
      </c>
      <c r="L14" s="3">
        <f t="shared" ca="1" si="2"/>
        <v>2.0706583763867858E-3</v>
      </c>
    </row>
    <row r="15" spans="2:12" x14ac:dyDescent="0.2">
      <c r="B15" vm="24">
        <f ca="1"/>
        <v>44409</v>
      </c>
      <c r="C15" vm="557">
        <f ca="1"/>
        <v>1867.45</v>
      </c>
      <c r="D15" vm="25">
        <f ca="1"/>
        <v>451.56</v>
      </c>
      <c r="E15" vm="26">
        <f ca="1"/>
        <v>99.406300000000002</v>
      </c>
      <c r="G15" s="3">
        <f t="shared" ca="1" si="0"/>
        <v>0.19044431695034103</v>
      </c>
      <c r="H15" s="3">
        <f t="shared" ca="1" si="0"/>
        <v>2.9759868646097035E-2</v>
      </c>
      <c r="I15" s="3">
        <f t="shared" ca="1" si="0"/>
        <v>-4.1145189776593198E-2</v>
      </c>
      <c r="K15" s="3">
        <f t="shared" ca="1" si="1"/>
        <v>0.23158950672693424</v>
      </c>
      <c r="L15" s="3">
        <f t="shared" ca="1" si="2"/>
        <v>7.0905058422690237E-2</v>
      </c>
    </row>
    <row r="16" spans="2:12" x14ac:dyDescent="0.2">
      <c r="B16" vm="27">
        <f ca="1"/>
        <v>44440</v>
      </c>
      <c r="C16" vm="558">
        <f ca="1"/>
        <v>1679.4</v>
      </c>
      <c r="D16" vm="29">
        <f ca="1"/>
        <v>429.14</v>
      </c>
      <c r="E16" vm="30">
        <f ca="1"/>
        <v>97.703100000000006</v>
      </c>
      <c r="G16" s="3">
        <f t="shared" ca="1" si="0"/>
        <v>-0.10069881389059945</v>
      </c>
      <c r="H16" s="3">
        <f t="shared" ca="1" si="0"/>
        <v>-4.9650101869076126E-2</v>
      </c>
      <c r="I16" s="3">
        <f t="shared" ca="1" si="0"/>
        <v>-1.7133722912934041E-2</v>
      </c>
      <c r="K16" s="3">
        <f t="shared" ca="1" si="1"/>
        <v>-8.3565090977665415E-2</v>
      </c>
      <c r="L16" s="3">
        <f t="shared" ca="1" si="2"/>
        <v>-3.2516378956142081E-2</v>
      </c>
    </row>
    <row r="17" spans="2:12" x14ac:dyDescent="0.2">
      <c r="B17" vm="31">
        <f ca="1"/>
        <v>44470</v>
      </c>
      <c r="C17" vm="559">
        <f ca="1"/>
        <v>1481.02</v>
      </c>
      <c r="D17" vm="33">
        <f ca="1"/>
        <v>459.25</v>
      </c>
      <c r="E17" vm="34">
        <f ca="1"/>
        <v>97.078100000000006</v>
      </c>
      <c r="G17" s="3">
        <f t="shared" ca="1" si="0"/>
        <v>-0.11812552101941175</v>
      </c>
      <c r="H17" s="3">
        <f t="shared" ca="1" si="0"/>
        <v>7.0163582979913347E-2</v>
      </c>
      <c r="I17" s="3">
        <f t="shared" ca="1" si="0"/>
        <v>-6.3969311106812365E-3</v>
      </c>
      <c r="K17" s="3">
        <f t="shared" ca="1" si="1"/>
        <v>-0.11172858990873051</v>
      </c>
      <c r="L17" s="3">
        <f t="shared" ca="1" si="2"/>
        <v>7.6560514090594584E-2</v>
      </c>
    </row>
    <row r="18" spans="2:12" x14ac:dyDescent="0.2">
      <c r="B18" vm="35">
        <f ca="1"/>
        <v>44501</v>
      </c>
      <c r="C18" vm="560">
        <f ca="1"/>
        <v>1188.4100000000001</v>
      </c>
      <c r="D18" vm="37">
        <f ca="1"/>
        <v>455.56</v>
      </c>
      <c r="E18" vm="38">
        <f ca="1"/>
        <v>98.656300000000002</v>
      </c>
      <c r="G18" s="3">
        <f t="shared" ca="1" si="0"/>
        <v>-0.19757329408110619</v>
      </c>
      <c r="H18" s="3">
        <f t="shared" ca="1" si="0"/>
        <v>-8.0348394120849168E-3</v>
      </c>
      <c r="I18" s="3">
        <f t="shared" ca="1" si="0"/>
        <v>1.6257013682797618E-2</v>
      </c>
      <c r="K18" s="3">
        <f t="shared" ca="1" si="1"/>
        <v>-0.2138303077639038</v>
      </c>
      <c r="L18" s="3">
        <f t="shared" ca="1" si="2"/>
        <v>-2.4291853094882535E-2</v>
      </c>
    </row>
    <row r="19" spans="2:12" x14ac:dyDescent="0.2">
      <c r="B19" vm="39">
        <f ca="1"/>
        <v>44531</v>
      </c>
      <c r="C19" vm="561">
        <f ca="1"/>
        <v>1348.4</v>
      </c>
      <c r="D19" vm="41">
        <f ca="1"/>
        <v>474.96</v>
      </c>
      <c r="E19" vm="42">
        <f ca="1"/>
        <v>98.75</v>
      </c>
      <c r="G19" s="3">
        <f t="shared" ca="1" si="0"/>
        <v>0.13462525559360827</v>
      </c>
      <c r="H19" s="3">
        <f t="shared" ca="1" si="0"/>
        <v>4.2584950390727842E-2</v>
      </c>
      <c r="I19" s="3">
        <f t="shared" ca="1" si="0"/>
        <v>9.4976195134014081E-4</v>
      </c>
      <c r="K19" s="3">
        <f t="shared" ca="1" si="1"/>
        <v>0.13367549364226813</v>
      </c>
      <c r="L19" s="3">
        <f t="shared" ca="1" si="2"/>
        <v>4.1635188439387703E-2</v>
      </c>
    </row>
    <row r="20" spans="2:12" x14ac:dyDescent="0.2">
      <c r="B20" vm="43">
        <f ca="1"/>
        <v>44562</v>
      </c>
      <c r="C20" vm="562">
        <f ca="1"/>
        <v>1132.06</v>
      </c>
      <c r="D20" vm="45">
        <f ca="1"/>
        <v>449.91</v>
      </c>
      <c r="E20" vm="46">
        <f ca="1"/>
        <v>96.296899999999994</v>
      </c>
      <c r="G20" s="3">
        <f t="shared" ca="1" si="0"/>
        <v>-0.16044200533966191</v>
      </c>
      <c r="H20" s="3">
        <f t="shared" ca="1" si="0"/>
        <v>-5.2741283476503191E-2</v>
      </c>
      <c r="I20" s="3">
        <f t="shared" ca="1" si="0"/>
        <v>-2.4841518987341837E-2</v>
      </c>
      <c r="K20" s="3">
        <f t="shared" ca="1" si="1"/>
        <v>-0.13560048635232008</v>
      </c>
      <c r="L20" s="3">
        <f t="shared" ca="1" si="2"/>
        <v>-2.7899764489161354E-2</v>
      </c>
    </row>
    <row r="21" spans="2:12" x14ac:dyDescent="0.2">
      <c r="B21" vm="47">
        <f ca="1"/>
        <v>44593</v>
      </c>
      <c r="C21" vm="563">
        <f ca="1"/>
        <v>1126.6500000000001</v>
      </c>
      <c r="D21" vm="49">
        <f ca="1"/>
        <v>436.63</v>
      </c>
      <c r="E21" vm="50">
        <f ca="1"/>
        <v>99.75</v>
      </c>
      <c r="G21" s="3">
        <f t="shared" ca="1" si="0"/>
        <v>-4.7788986449480196E-3</v>
      </c>
      <c r="H21" s="3">
        <f t="shared" ca="1" si="0"/>
        <v>-2.9517014514013978E-2</v>
      </c>
      <c r="I21" s="3">
        <f t="shared" ca="1" si="0"/>
        <v>3.5858890576955293E-2</v>
      </c>
      <c r="K21" s="3">
        <f t="shared" ca="1" si="1"/>
        <v>-4.0637789221903316E-2</v>
      </c>
      <c r="L21" s="3">
        <f t="shared" ca="1" si="2"/>
        <v>-6.5375905090969272E-2</v>
      </c>
    </row>
    <row r="22" spans="2:12" x14ac:dyDescent="0.2">
      <c r="B22" vm="51">
        <f ca="1"/>
        <v>44621</v>
      </c>
      <c r="C22" vm="564">
        <f ca="1"/>
        <v>1189.48</v>
      </c>
      <c r="D22" vm="53">
        <f ca="1"/>
        <v>451.64</v>
      </c>
      <c r="E22" vm="54">
        <f ca="1"/>
        <v>95.8125</v>
      </c>
      <c r="G22" s="3">
        <f t="shared" ca="1" si="0"/>
        <v>5.5767097146407422E-2</v>
      </c>
      <c r="H22" s="3">
        <f t="shared" ca="1" si="0"/>
        <v>3.4376932414172161E-2</v>
      </c>
      <c r="I22" s="3">
        <f t="shared" ca="1" si="0"/>
        <v>-3.9473684210526314E-2</v>
      </c>
      <c r="K22" s="3">
        <f t="shared" ca="1" si="1"/>
        <v>9.5240781356933729E-2</v>
      </c>
      <c r="L22" s="3">
        <f t="shared" ca="1" si="2"/>
        <v>7.3850616624698467E-2</v>
      </c>
    </row>
    <row r="23" spans="2:12" x14ac:dyDescent="0.2">
      <c r="B23" vm="55">
        <f ca="1"/>
        <v>44652</v>
      </c>
      <c r="C23" vm="565">
        <f ca="1"/>
        <v>973.63</v>
      </c>
      <c r="D23" vm="57">
        <f ca="1"/>
        <v>412</v>
      </c>
      <c r="E23" vm="58">
        <f ca="1"/>
        <v>91.015600000000006</v>
      </c>
      <c r="G23" s="3">
        <f t="shared" ca="1" si="0"/>
        <v>-0.18146585062380202</v>
      </c>
      <c r="H23" s="3">
        <f t="shared" ca="1" si="0"/>
        <v>-8.7769019573111298E-2</v>
      </c>
      <c r="I23" s="3">
        <f t="shared" ca="1" si="0"/>
        <v>-5.0065492498369148E-2</v>
      </c>
      <c r="K23" s="3">
        <f t="shared" ca="1" si="1"/>
        <v>-0.13140035812543288</v>
      </c>
      <c r="L23" s="3">
        <f t="shared" ca="1" si="2"/>
        <v>-3.7703527074742151E-2</v>
      </c>
    </row>
    <row r="24" spans="2:12" x14ac:dyDescent="0.2">
      <c r="B24" vm="59">
        <f ca="1"/>
        <v>44682</v>
      </c>
      <c r="C24" vm="566">
        <f ca="1"/>
        <v>785.88</v>
      </c>
      <c r="D24" vm="61">
        <f ca="1"/>
        <v>412.93</v>
      </c>
      <c r="E24" vm="62">
        <f ca="1"/>
        <v>100.0938</v>
      </c>
      <c r="G24" s="3">
        <f t="shared" ca="1" si="0"/>
        <v>-0.19283506054661423</v>
      </c>
      <c r="H24" s="3">
        <f t="shared" ca="1" si="0"/>
        <v>2.2572815533980746E-3</v>
      </c>
      <c r="I24" s="3">
        <f t="shared" ca="1" si="0"/>
        <v>9.9743340702033445E-2</v>
      </c>
      <c r="K24" s="3">
        <f t="shared" ca="1" si="1"/>
        <v>-0.29257840124864765</v>
      </c>
      <c r="L24" s="3">
        <f t="shared" ca="1" si="2"/>
        <v>-9.7486059148635368E-2</v>
      </c>
    </row>
    <row r="25" spans="2:12" x14ac:dyDescent="0.2">
      <c r="B25" vm="63">
        <f ca="1"/>
        <v>44713</v>
      </c>
      <c r="C25" vm="567">
        <f ca="1"/>
        <v>636.87</v>
      </c>
      <c r="D25" vm="65">
        <f ca="1"/>
        <v>377.25</v>
      </c>
      <c r="E25" vm="66">
        <f ca="1"/>
        <v>98.796899999999994</v>
      </c>
      <c r="G25" s="3">
        <f t="shared" ca="1" si="0"/>
        <v>-0.18960910062604977</v>
      </c>
      <c r="H25" s="3">
        <f t="shared" ca="1" si="0"/>
        <v>-8.6406897052769244E-2</v>
      </c>
      <c r="I25" s="3">
        <f t="shared" ca="1" si="0"/>
        <v>-1.2956846478003712E-2</v>
      </c>
      <c r="K25" s="3">
        <f t="shared" ca="1" si="1"/>
        <v>-0.17665225414804606</v>
      </c>
      <c r="L25" s="3">
        <f t="shared" ca="1" si="2"/>
        <v>-7.345005057476553E-2</v>
      </c>
    </row>
    <row r="26" spans="2:12" x14ac:dyDescent="0.2">
      <c r="B26" vm="67">
        <f ca="1"/>
        <v>44743</v>
      </c>
      <c r="C26" vm="568">
        <f ca="1"/>
        <v>813.71</v>
      </c>
      <c r="D26" vm="69">
        <f ca="1"/>
        <v>411.99</v>
      </c>
      <c r="E26" vm="70">
        <f ca="1"/>
        <v>101.7813</v>
      </c>
      <c r="G26" s="3">
        <f t="shared" ca="1" si="0"/>
        <v>0.27767048220201929</v>
      </c>
      <c r="H26" s="3">
        <f t="shared" ca="1" si="0"/>
        <v>9.2087475149105397E-2</v>
      </c>
      <c r="I26" s="3">
        <f t="shared" ca="1" si="0"/>
        <v>3.0207425536631291E-2</v>
      </c>
      <c r="K26" s="3">
        <f t="shared" ca="1" si="1"/>
        <v>0.24746305666538798</v>
      </c>
      <c r="L26" s="3">
        <f t="shared" ca="1" si="2"/>
        <v>6.1880049612474106E-2</v>
      </c>
    </row>
    <row r="27" spans="2:12" x14ac:dyDescent="0.2">
      <c r="B27" vm="71">
        <f ca="1"/>
        <v>44774</v>
      </c>
      <c r="C27" vm="569">
        <f ca="1"/>
        <v>855.36</v>
      </c>
      <c r="D27" vm="73">
        <f ca="1"/>
        <v>395.18</v>
      </c>
      <c r="E27" vm="74">
        <f ca="1"/>
        <v>96.234399999999994</v>
      </c>
      <c r="G27" s="3">
        <f t="shared" ca="1" si="0"/>
        <v>5.1185311720391757E-2</v>
      </c>
      <c r="H27" s="3">
        <f t="shared" ca="1" si="0"/>
        <v>-4.0801961212650797E-2</v>
      </c>
      <c r="I27" s="3">
        <f t="shared" ca="1" si="0"/>
        <v>-5.4498223151011119E-2</v>
      </c>
      <c r="K27" s="3">
        <f t="shared" ca="1" si="1"/>
        <v>0.10568353487140288</v>
      </c>
      <c r="L27" s="3">
        <f t="shared" ca="1" si="2"/>
        <v>1.3696261938360321E-2</v>
      </c>
    </row>
    <row r="28" spans="2:12" x14ac:dyDescent="0.2">
      <c r="B28" vm="75">
        <f ca="1"/>
        <v>44805</v>
      </c>
      <c r="C28" vm="570">
        <f ca="1"/>
        <v>827.78</v>
      </c>
      <c r="D28" vm="77">
        <f ca="1"/>
        <v>357.18</v>
      </c>
      <c r="E28" vm="78">
        <f ca="1"/>
        <v>91.203100000000006</v>
      </c>
      <c r="G28" s="3">
        <f t="shared" ca="1" si="0"/>
        <v>-3.2243733632622569E-2</v>
      </c>
      <c r="H28" s="3">
        <f t="shared" ca="1" si="0"/>
        <v>-9.615871248544966E-2</v>
      </c>
      <c r="I28" s="3">
        <f t="shared" ca="1" si="0"/>
        <v>-5.2281720465862394E-2</v>
      </c>
      <c r="K28" s="3">
        <f t="shared" ca="1" si="1"/>
        <v>2.0037986833239825E-2</v>
      </c>
      <c r="L28" s="3">
        <f t="shared" ca="1" si="2"/>
        <v>-4.3876992019587266E-2</v>
      </c>
    </row>
    <row r="29" spans="2:12" x14ac:dyDescent="0.2">
      <c r="B29" vm="79">
        <f ca="1"/>
        <v>44835</v>
      </c>
      <c r="C29" vm="571">
        <f ca="1"/>
        <v>901.62</v>
      </c>
      <c r="D29" vm="81">
        <f ca="1"/>
        <v>386.21</v>
      </c>
      <c r="E29" vm="82">
        <f ca="1"/>
        <v>89.531300000000002</v>
      </c>
      <c r="G29" s="3">
        <f t="shared" ca="1" si="0"/>
        <v>8.9202445094107172E-2</v>
      </c>
      <c r="H29" s="3">
        <f t="shared" ca="1" si="0"/>
        <v>8.1275547343076238E-2</v>
      </c>
      <c r="I29" s="3">
        <f t="shared" ca="1" si="0"/>
        <v>-1.8330517274083934E-2</v>
      </c>
      <c r="K29" s="3">
        <f t="shared" ca="1" si="1"/>
        <v>0.1075329623681911</v>
      </c>
      <c r="L29" s="3">
        <f t="shared" ca="1" si="2"/>
        <v>9.9606064617160178E-2</v>
      </c>
    </row>
    <row r="30" spans="2:12" x14ac:dyDescent="0.2">
      <c r="B30" vm="83">
        <f ca="1"/>
        <v>44866</v>
      </c>
      <c r="C30" vm="572">
        <f ca="1"/>
        <v>930.98500000000001</v>
      </c>
      <c r="D30" vm="85">
        <f ca="1"/>
        <v>407.68</v>
      </c>
      <c r="E30" vm="86">
        <f ca="1"/>
        <v>103.1875</v>
      </c>
      <c r="G30" s="3">
        <f t="shared" ca="1" si="0"/>
        <v>3.2569153301834484E-2</v>
      </c>
      <c r="H30" s="3">
        <f t="shared" ca="1" si="0"/>
        <v>5.5591517568162475E-2</v>
      </c>
      <c r="I30" s="3">
        <f t="shared" ca="1" si="0"/>
        <v>0.15252989736550232</v>
      </c>
      <c r="K30" s="3">
        <f t="shared" ca="1" si="1"/>
        <v>-0.11996074406366783</v>
      </c>
      <c r="L30" s="3">
        <f t="shared" ca="1" si="2"/>
        <v>-9.6938379797339852E-2</v>
      </c>
    </row>
    <row r="31" spans="2:12" x14ac:dyDescent="0.2">
      <c r="B31" vm="87">
        <f ca="1"/>
        <v>44896</v>
      </c>
      <c r="C31" vm="573">
        <f ca="1"/>
        <v>846.24</v>
      </c>
      <c r="D31" vm="89">
        <f ca="1"/>
        <v>382.43</v>
      </c>
      <c r="E31" vm="90">
        <f ca="1"/>
        <v>102</v>
      </c>
      <c r="G31" s="3">
        <f t="shared" ca="1" si="0"/>
        <v>-9.1027245336928089E-2</v>
      </c>
      <c r="H31" s="3">
        <f t="shared" ca="1" si="0"/>
        <v>-6.1935832025117737E-2</v>
      </c>
      <c r="I31" s="3">
        <f t="shared" ca="1" si="0"/>
        <v>-1.1508176862507571E-2</v>
      </c>
      <c r="K31" s="3">
        <f t="shared" ca="1" si="1"/>
        <v>-7.9519068474420515E-2</v>
      </c>
      <c r="L31" s="3">
        <f t="shared" ca="1" si="2"/>
        <v>-5.0427655162610163E-2</v>
      </c>
    </row>
    <row r="32" spans="2:12" x14ac:dyDescent="0.2">
      <c r="B32" vm="91">
        <f ca="1"/>
        <v>44927</v>
      </c>
      <c r="C32" vm="574">
        <f ca="1"/>
        <v>1181.69</v>
      </c>
      <c r="D32" vm="93">
        <f ca="1"/>
        <v>406.48</v>
      </c>
      <c r="E32" vm="94">
        <f ca="1"/>
        <v>104.8438</v>
      </c>
      <c r="G32" s="3">
        <f t="shared" ca="1" si="0"/>
        <v>0.39640054830780869</v>
      </c>
      <c r="H32" s="3">
        <f t="shared" ca="1" si="0"/>
        <v>6.2887325785111026E-2</v>
      </c>
      <c r="I32" s="3">
        <f t="shared" ca="1" si="0"/>
        <v>2.7880392156862763E-2</v>
      </c>
      <c r="K32" s="3">
        <f t="shared" ca="1" si="1"/>
        <v>0.36852015615094591</v>
      </c>
      <c r="L32" s="3">
        <f t="shared" ca="1" si="2"/>
        <v>3.5006933628248263E-2</v>
      </c>
    </row>
    <row r="33" spans="2:12" x14ac:dyDescent="0.2">
      <c r="B33" vm="95">
        <f ca="1"/>
        <v>44958</v>
      </c>
      <c r="C33" vm="575">
        <f ca="1"/>
        <v>1220</v>
      </c>
      <c r="D33" vm="97">
        <f ca="1"/>
        <v>396.26</v>
      </c>
      <c r="E33" vm="98">
        <f ca="1"/>
        <v>96.531300000000002</v>
      </c>
      <c r="G33" s="3">
        <f t="shared" ca="1" si="0"/>
        <v>3.2419670133452885E-2</v>
      </c>
      <c r="H33" s="3">
        <f t="shared" ca="1" si="0"/>
        <v>-2.5142688447156138E-2</v>
      </c>
      <c r="I33" s="3">
        <f t="shared" ca="1" si="0"/>
        <v>-7.9284611965609791E-2</v>
      </c>
      <c r="K33" s="3">
        <f t="shared" ca="1" si="1"/>
        <v>0.11170428209906268</v>
      </c>
      <c r="L33" s="3">
        <f t="shared" ca="1" si="2"/>
        <v>5.414192351845365E-2</v>
      </c>
    </row>
    <row r="34" spans="2:12" x14ac:dyDescent="0.2">
      <c r="B34" vm="99">
        <f ca="1"/>
        <v>44986</v>
      </c>
      <c r="C34" vm="576">
        <f ca="1"/>
        <v>1318.06</v>
      </c>
      <c r="D34" vm="101">
        <f ca="1"/>
        <v>409.39</v>
      </c>
      <c r="E34" vm="102">
        <f ca="1"/>
        <v>100.2188</v>
      </c>
      <c r="G34" s="3">
        <f t="shared" ca="1" si="0"/>
        <v>8.0377049180327828E-2</v>
      </c>
      <c r="H34" s="3">
        <f t="shared" ca="1" si="0"/>
        <v>3.3134810477968998E-2</v>
      </c>
      <c r="I34" s="3">
        <f t="shared" ca="1" si="0"/>
        <v>3.8200044959510543E-2</v>
      </c>
      <c r="K34" s="3">
        <f t="shared" ca="1" si="1"/>
        <v>4.2177004220817285E-2</v>
      </c>
      <c r="L34" s="3">
        <f t="shared" ca="1" si="2"/>
        <v>-5.0652344815415445E-3</v>
      </c>
    </row>
    <row r="35" spans="2:12" x14ac:dyDescent="0.2">
      <c r="B35" vm="103">
        <f ca="1"/>
        <v>45017</v>
      </c>
      <c r="C35" vm="577">
        <f ca="1"/>
        <v>1277.49</v>
      </c>
      <c r="D35" vm="105">
        <f ca="1"/>
        <v>415.93</v>
      </c>
      <c r="E35" vm="106">
        <f ca="1"/>
        <v>100.42189999999999</v>
      </c>
      <c r="G35" s="3">
        <f t="shared" ca="1" si="0"/>
        <v>-3.078008588379887E-2</v>
      </c>
      <c r="H35" s="3">
        <f t="shared" ca="1" si="0"/>
        <v>1.5974987176042454E-2</v>
      </c>
      <c r="I35" s="3">
        <f t="shared" ca="1" si="0"/>
        <v>2.0265658738678975E-3</v>
      </c>
      <c r="K35" s="3">
        <f t="shared" ca="1" si="1"/>
        <v>-3.2806651757666769E-2</v>
      </c>
      <c r="L35" s="3">
        <f t="shared" ca="1" si="2"/>
        <v>1.3948421302174557E-2</v>
      </c>
    </row>
    <row r="36" spans="2:12" x14ac:dyDescent="0.2">
      <c r="B36" vm="107">
        <f ca="1"/>
        <v>45047</v>
      </c>
      <c r="C36" vm="578">
        <f ca="1"/>
        <v>1239</v>
      </c>
      <c r="D36" vm="109">
        <f ca="1"/>
        <v>417.85</v>
      </c>
      <c r="E36" vm="110">
        <f ca="1"/>
        <v>97.8125</v>
      </c>
      <c r="G36" s="3">
        <f t="shared" ca="1" si="0"/>
        <v>-3.0129394359251351E-2</v>
      </c>
      <c r="H36" s="3">
        <f t="shared" ca="1" si="0"/>
        <v>4.6161613733080465E-3</v>
      </c>
      <c r="I36" s="3">
        <f t="shared" ca="1" si="0"/>
        <v>-2.5984371934806988E-2</v>
      </c>
      <c r="K36" s="3">
        <f t="shared" ca="1" si="1"/>
        <v>-4.1450224244443633E-3</v>
      </c>
      <c r="L36" s="3">
        <f t="shared" ca="1" si="2"/>
        <v>3.0600533308115033E-2</v>
      </c>
    </row>
    <row r="37" spans="2:12" x14ac:dyDescent="0.2">
      <c r="B37" vm="111">
        <f ca="1"/>
        <v>45078</v>
      </c>
      <c r="C37" vm="579">
        <f ca="1"/>
        <v>1184.5999999999999</v>
      </c>
      <c r="D37" vm="113">
        <f ca="1"/>
        <v>443.28</v>
      </c>
      <c r="E37" vm="114">
        <f ca="1"/>
        <v>96.203100000000006</v>
      </c>
      <c r="G37" s="3">
        <f t="shared" ca="1" si="0"/>
        <v>-4.3906376109766013E-2</v>
      </c>
      <c r="H37" s="3">
        <f t="shared" ca="1" si="0"/>
        <v>6.0859159985640655E-2</v>
      </c>
      <c r="I37" s="3">
        <f t="shared" ca="1" si="0"/>
        <v>-1.645392971246E-2</v>
      </c>
      <c r="K37" s="3">
        <f t="shared" ca="1" si="1"/>
        <v>-2.7452446397306013E-2</v>
      </c>
      <c r="L37" s="3">
        <f t="shared" ca="1" si="2"/>
        <v>7.7313089698100662E-2</v>
      </c>
    </row>
    <row r="38" spans="2:12" x14ac:dyDescent="0.2">
      <c r="B38" vm="115">
        <f ca="1"/>
        <v>45108</v>
      </c>
      <c r="C38" vm="580">
        <f ca="1"/>
        <v>1238.05</v>
      </c>
      <c r="D38" vm="117">
        <f ca="1"/>
        <v>457.79</v>
      </c>
      <c r="E38" vm="118">
        <f ca="1"/>
        <v>95.25</v>
      </c>
      <c r="G38" s="3">
        <f t="shared" ca="1" si="0"/>
        <v>4.5120715853452682E-2</v>
      </c>
      <c r="H38" s="3">
        <f t="shared" ca="1" si="0"/>
        <v>3.273326114419791E-2</v>
      </c>
      <c r="I38" s="3">
        <f t="shared" ca="1" si="0"/>
        <v>-9.9071651537217219E-3</v>
      </c>
      <c r="K38" s="3">
        <f t="shared" ca="1" si="1"/>
        <v>5.5027881007174401E-2</v>
      </c>
      <c r="L38" s="3">
        <f t="shared" ca="1" si="2"/>
        <v>4.2640426297919629E-2</v>
      </c>
    </row>
    <row r="39" spans="2:12" x14ac:dyDescent="0.2">
      <c r="B39" vm="119">
        <f ca="1"/>
        <v>45139</v>
      </c>
      <c r="C39" vm="581">
        <f ca="1"/>
        <v>1372.36</v>
      </c>
      <c r="D39" vm="121">
        <f ca="1"/>
        <v>450.35</v>
      </c>
      <c r="E39" vm="122">
        <f ca="1"/>
        <v>98.0625</v>
      </c>
      <c r="G39" s="3">
        <f t="shared" ca="1" si="0"/>
        <v>0.10848511772545531</v>
      </c>
      <c r="H39" s="3">
        <f t="shared" ca="1" si="0"/>
        <v>-1.6251993272024284E-2</v>
      </c>
      <c r="I39" s="3">
        <f t="shared" ca="1" si="0"/>
        <v>2.952755905511811E-2</v>
      </c>
      <c r="K39" s="3">
        <f t="shared" ca="1" si="1"/>
        <v>7.89575586703372E-2</v>
      </c>
      <c r="L39" s="3">
        <f t="shared" ca="1" si="2"/>
        <v>-4.5779552327142398E-2</v>
      </c>
    </row>
    <row r="40" spans="2:12" x14ac:dyDescent="0.2">
      <c r="B40" vm="123">
        <f ca="1"/>
        <v>45170</v>
      </c>
      <c r="C40" vm="582">
        <f ca="1"/>
        <v>1267.8800000000001</v>
      </c>
      <c r="D40" vm="125">
        <f ca="1"/>
        <v>427.48</v>
      </c>
      <c r="E40" vm="126">
        <f ca="1"/>
        <v>94.453100000000006</v>
      </c>
      <c r="G40" s="3">
        <f t="shared" ca="1" si="0"/>
        <v>-7.6131627269812444E-2</v>
      </c>
      <c r="H40" s="3">
        <f t="shared" ca="1" si="0"/>
        <v>-5.0782724547574119E-2</v>
      </c>
      <c r="I40" s="3">
        <f t="shared" ca="1" si="0"/>
        <v>-3.6807138304652584E-2</v>
      </c>
      <c r="K40" s="3">
        <f t="shared" ca="1" si="1"/>
        <v>-3.9324488965159859E-2</v>
      </c>
      <c r="L40" s="3">
        <f t="shared" ca="1" si="2"/>
        <v>-1.3975586242921535E-2</v>
      </c>
    </row>
    <row r="41" spans="2:12" x14ac:dyDescent="0.2">
      <c r="B41" vm="127">
        <f ca="1"/>
        <v>45200</v>
      </c>
      <c r="C41" vm="583">
        <f ca="1"/>
        <v>1240.74</v>
      </c>
      <c r="D41" vm="129">
        <f ca="1"/>
        <v>418.2</v>
      </c>
      <c r="E41" vm="130">
        <f ca="1"/>
        <v>91.890600000000006</v>
      </c>
      <c r="G41" s="3">
        <f t="shared" ca="1" si="0"/>
        <v>-2.1405811275515111E-2</v>
      </c>
      <c r="H41" s="3">
        <f t="shared" ca="1" si="0"/>
        <v>-2.1708617947038527E-2</v>
      </c>
      <c r="I41" s="3">
        <f t="shared" ca="1" si="0"/>
        <v>-2.7129866568699174E-2</v>
      </c>
      <c r="K41" s="3">
        <f t="shared" ca="1" si="1"/>
        <v>5.7240552931840626E-3</v>
      </c>
      <c r="L41" s="3">
        <f t="shared" ca="1" si="2"/>
        <v>5.4212486216606466E-3</v>
      </c>
    </row>
    <row r="42" spans="2:12" x14ac:dyDescent="0.2">
      <c r="B42" vm="131">
        <f ca="1"/>
        <v>45231</v>
      </c>
      <c r="C42" vm="584">
        <f ca="1"/>
        <v>1620.46</v>
      </c>
      <c r="D42" vm="133">
        <f ca="1"/>
        <v>456.4</v>
      </c>
      <c r="E42" vm="134">
        <f ca="1"/>
        <v>102.01560000000001</v>
      </c>
      <c r="G42" s="3">
        <f t="shared" ca="1" si="0"/>
        <v>0.30604316778696589</v>
      </c>
      <c r="H42" s="3">
        <f t="shared" ca="1" si="0"/>
        <v>9.134385461501672E-2</v>
      </c>
      <c r="I42" s="3">
        <f t="shared" ca="1" si="0"/>
        <v>0.11018537260612075</v>
      </c>
      <c r="K42" s="3">
        <f t="shared" ca="1" si="1"/>
        <v>0.19585779518084512</v>
      </c>
      <c r="L42" s="3">
        <f t="shared" ca="1" si="2"/>
        <v>-1.8841517991104034E-2</v>
      </c>
    </row>
    <row r="43" spans="2:12" x14ac:dyDescent="0.2">
      <c r="B43" vm="135">
        <f ca="1"/>
        <v>45261</v>
      </c>
      <c r="C43" vm="585">
        <f ca="1"/>
        <v>1571.54</v>
      </c>
      <c r="D43" vm="137">
        <f ca="1"/>
        <v>475.31</v>
      </c>
      <c r="E43" vm="138">
        <f ca="1"/>
        <v>105.1563</v>
      </c>
      <c r="G43" s="3">
        <f t="shared" ca="1" si="0"/>
        <v>-3.0188958690742181E-2</v>
      </c>
      <c r="H43" s="3">
        <f t="shared" ca="1" si="0"/>
        <v>4.1432953549518023E-2</v>
      </c>
      <c r="I43" s="3">
        <f t="shared" ca="1" si="0"/>
        <v>3.0786467951960241E-2</v>
      </c>
      <c r="K43" s="3">
        <f t="shared" ca="1" si="1"/>
        <v>-6.0975426642702418E-2</v>
      </c>
      <c r="L43" s="3">
        <f t="shared" ca="1" si="2"/>
        <v>1.0646485597557782E-2</v>
      </c>
    </row>
    <row r="44" spans="2:12" x14ac:dyDescent="0.2">
      <c r="B44" vm="139">
        <f ca="1"/>
        <v>45292</v>
      </c>
      <c r="C44" vm="586">
        <f ca="1"/>
        <v>1711.81</v>
      </c>
      <c r="D44" vm="141">
        <f ca="1"/>
        <v>482.88</v>
      </c>
      <c r="E44" vm="142">
        <f ca="1"/>
        <v>103.6875</v>
      </c>
      <c r="G44" s="3">
        <f t="shared" ca="1" si="0"/>
        <v>8.9256398182674307E-2</v>
      </c>
      <c r="H44" s="3">
        <f t="shared" ca="1" si="0"/>
        <v>1.5926448002356344E-2</v>
      </c>
      <c r="I44" s="3">
        <f t="shared" ca="1" si="0"/>
        <v>-1.3967779391249041E-2</v>
      </c>
      <c r="K44" s="3">
        <f t="shared" ca="1" si="1"/>
        <v>0.10322417757392335</v>
      </c>
      <c r="L44" s="3">
        <f t="shared" ca="1" si="2"/>
        <v>2.9894227393605387E-2</v>
      </c>
    </row>
    <row r="45" spans="2:12" x14ac:dyDescent="0.2">
      <c r="B45" vm="143">
        <f ca="1"/>
        <v>45323</v>
      </c>
      <c r="C45" vm="587">
        <f ca="1"/>
        <v>1595.3</v>
      </c>
      <c r="D45" vm="145">
        <f ca="1"/>
        <v>508.08</v>
      </c>
      <c r="E45" vm="146">
        <f ca="1"/>
        <v>97.875</v>
      </c>
      <c r="G45" s="3">
        <f t="shared" ca="1" si="0"/>
        <v>-6.8062460202943084E-2</v>
      </c>
      <c r="H45" s="3">
        <f t="shared" ca="1" si="0"/>
        <v>5.2186878727634174E-2</v>
      </c>
      <c r="I45" s="3">
        <f t="shared" ca="1" si="0"/>
        <v>-5.6057866184448461E-2</v>
      </c>
      <c r="K45" s="3">
        <f t="shared" ca="1" si="1"/>
        <v>-1.2004594018494623E-2</v>
      </c>
      <c r="L45" s="3">
        <f t="shared" ca="1" si="2"/>
        <v>0.10824474491208264</v>
      </c>
    </row>
    <row r="46" spans="2:12" x14ac:dyDescent="0.2">
      <c r="B46" vm="147">
        <f ca="1"/>
        <v>45352</v>
      </c>
      <c r="C46" vm="588">
        <f ca="1"/>
        <v>1511.96</v>
      </c>
      <c r="D46" vm="149">
        <f ca="1"/>
        <v>523.07000000000005</v>
      </c>
      <c r="E46" vm="150">
        <f ca="1"/>
        <v>98.468800000000002</v>
      </c>
      <c r="G46" s="3">
        <f t="shared" ca="1" si="0"/>
        <v>-5.2240957813577335E-2</v>
      </c>
      <c r="H46" s="3">
        <f t="shared" ca="1" si="0"/>
        <v>2.9503227838135856E-2</v>
      </c>
      <c r="I46" s="3">
        <f t="shared" ca="1" si="0"/>
        <v>6.0669220945083185E-3</v>
      </c>
      <c r="K46" s="3">
        <f t="shared" ca="1" si="1"/>
        <v>-5.8307879908085655E-2</v>
      </c>
      <c r="L46" s="3">
        <f t="shared" ca="1" si="2"/>
        <v>2.3436305743627539E-2</v>
      </c>
    </row>
    <row r="47" spans="2:12" x14ac:dyDescent="0.2">
      <c r="B47" vm="151">
        <f ca="1"/>
        <v>45383</v>
      </c>
      <c r="C47" vm="589">
        <f ca="1"/>
        <v>1458.7</v>
      </c>
      <c r="D47" vm="153">
        <f ca="1"/>
        <v>501.98</v>
      </c>
      <c r="E47" vm="154">
        <f ca="1"/>
        <v>94.6875</v>
      </c>
      <c r="G47" s="3">
        <f t="shared" ca="1" si="0"/>
        <v>-3.5225799624328681E-2</v>
      </c>
      <c r="H47" s="3">
        <f t="shared" ca="1" si="0"/>
        <v>-4.031965128950242E-2</v>
      </c>
      <c r="I47" s="3">
        <f t="shared" ca="1" si="0"/>
        <v>-3.8400996051541215E-2</v>
      </c>
      <c r="K47" s="3">
        <f t="shared" ca="1" si="1"/>
        <v>3.1751964272125344E-3</v>
      </c>
      <c r="L47" s="3">
        <f t="shared" ca="1" si="2"/>
        <v>-1.9186552379612046E-3</v>
      </c>
    </row>
    <row r="48" spans="2:12" x14ac:dyDescent="0.2">
      <c r="B48" vm="155">
        <f ca="1"/>
        <v>45413</v>
      </c>
      <c r="C48" vm="590">
        <f ca="1"/>
        <v>1725.58</v>
      </c>
      <c r="D48" vm="157">
        <f ca="1"/>
        <v>527.37</v>
      </c>
      <c r="E48" vm="158">
        <f ca="1"/>
        <v>98.984399999999994</v>
      </c>
      <c r="G48" s="3">
        <f t="shared" ca="1" si="0"/>
        <v>0.18295742784671273</v>
      </c>
      <c r="H48" s="3">
        <f t="shared" ca="1" si="0"/>
        <v>5.0579704370692029E-2</v>
      </c>
      <c r="I48" s="3">
        <f t="shared" ca="1" si="0"/>
        <v>4.5379801980197955E-2</v>
      </c>
      <c r="K48" s="3">
        <f t="shared" ca="1" si="1"/>
        <v>0.13757762586651479</v>
      </c>
      <c r="L48" s="3">
        <f t="shared" ca="1" si="2"/>
        <v>5.1999023904940739E-3</v>
      </c>
    </row>
    <row r="49" spans="2:12" x14ac:dyDescent="0.2">
      <c r="B49" vm="159">
        <f ca="1"/>
        <v>45444</v>
      </c>
      <c r="C49" vm="591">
        <f ca="1"/>
        <v>1643.4</v>
      </c>
      <c r="D49" vm="161">
        <f ca="1"/>
        <v>544.22</v>
      </c>
      <c r="E49" vm="162">
        <f ca="1"/>
        <v>99.671899999999994</v>
      </c>
      <c r="G49" s="3">
        <f t="shared" ca="1" si="0"/>
        <v>-4.7624566812318081E-2</v>
      </c>
      <c r="H49" s="3">
        <f t="shared" ca="1" si="0"/>
        <v>3.1951002142708199E-2</v>
      </c>
      <c r="I49" s="3">
        <f t="shared" ca="1" si="0"/>
        <v>6.9455388929972805E-3</v>
      </c>
      <c r="K49" s="3">
        <f t="shared" ca="1" si="1"/>
        <v>-5.4570105705315362E-2</v>
      </c>
      <c r="L49" s="3">
        <f t="shared" ca="1" si="2"/>
        <v>2.5005463249710917E-2</v>
      </c>
    </row>
    <row r="50" spans="2:12" x14ac:dyDescent="0.2">
      <c r="B50" vm="163">
        <f ca="1"/>
        <v>45474</v>
      </c>
      <c r="C50" vm="592">
        <f ca="1"/>
        <v>1668.9</v>
      </c>
      <c r="D50" vm="165">
        <f ca="1"/>
        <v>550.80999999999995</v>
      </c>
      <c r="E50" vm="166">
        <f ca="1"/>
        <v>102.5313</v>
      </c>
      <c r="G50" s="3">
        <f t="shared" ca="1" si="0"/>
        <v>1.551661190215407E-2</v>
      </c>
      <c r="H50" s="3">
        <f t="shared" ca="1" si="0"/>
        <v>1.210907353643732E-2</v>
      </c>
      <c r="I50" s="3">
        <f t="shared" ca="1" si="0"/>
        <v>2.8688125740554841E-2</v>
      </c>
      <c r="K50" s="3">
        <f t="shared" ca="1" si="1"/>
        <v>-1.3171513838400772E-2</v>
      </c>
      <c r="L50" s="3">
        <f t="shared" ca="1" si="2"/>
        <v>-1.6579052204117522E-2</v>
      </c>
    </row>
    <row r="51" spans="2:12" x14ac:dyDescent="0.2">
      <c r="B51" vm="167">
        <f ca="1"/>
        <v>45505</v>
      </c>
      <c r="C51" vm="593">
        <f ca="1"/>
        <v>2061.66</v>
      </c>
      <c r="D51" vm="169">
        <f ca="1"/>
        <v>563.67999999999995</v>
      </c>
      <c r="E51" vm="170">
        <f ca="1"/>
        <v>99.718800000000002</v>
      </c>
      <c r="G51" s="3">
        <f t="shared" ca="1" si="0"/>
        <v>0.23534064353765938</v>
      </c>
      <c r="H51" s="3">
        <f t="shared" ca="1" si="0"/>
        <v>2.3365588860042495E-2</v>
      </c>
      <c r="I51" s="3">
        <f t="shared" ca="1" si="0"/>
        <v>-2.7430648006998837E-2</v>
      </c>
      <c r="K51" s="3">
        <f t="shared" ca="1" si="1"/>
        <v>0.26277129154465823</v>
      </c>
      <c r="L51" s="3">
        <f t="shared" ca="1" si="2"/>
        <v>5.0796236867041336E-2</v>
      </c>
    </row>
    <row r="52" spans="2:12" x14ac:dyDescent="0.2">
      <c r="B52" vm="171">
        <f ca="1"/>
        <v>45536</v>
      </c>
      <c r="C52" vm="594">
        <f ca="1"/>
        <v>2051.96</v>
      </c>
      <c r="D52" vm="173">
        <f ca="1"/>
        <v>573.76</v>
      </c>
      <c r="E52" vm="174">
        <f ca="1"/>
        <v>100.79689999999999</v>
      </c>
      <c r="G52" s="3">
        <f t="shared" ca="1" si="0"/>
        <v>-4.704946499422707E-3</v>
      </c>
      <c r="H52" s="3">
        <f t="shared" ca="1" si="0"/>
        <v>1.7882486517172939E-2</v>
      </c>
      <c r="I52" s="3">
        <f t="shared" ca="1" si="0"/>
        <v>1.081140166147198E-2</v>
      </c>
      <c r="K52" s="3">
        <f t="shared" ca="1" si="1"/>
        <v>-1.5516348160894686E-2</v>
      </c>
      <c r="L52" s="3">
        <f t="shared" ca="1" si="2"/>
        <v>7.0710848557009598E-3</v>
      </c>
    </row>
    <row r="53" spans="2:12" x14ac:dyDescent="0.2">
      <c r="B53" vm="175">
        <f ca="1"/>
        <v>45566</v>
      </c>
      <c r="C53" vm="595">
        <f ca="1"/>
        <v>2037.18</v>
      </c>
      <c r="D53" vm="177">
        <f ca="1"/>
        <v>568.64</v>
      </c>
      <c r="E53" vm="178">
        <f ca="1"/>
        <v>96.718800000000002</v>
      </c>
      <c r="G53" s="3">
        <f t="shared" ca="1" si="0"/>
        <v>-7.2028694516462176E-3</v>
      </c>
      <c r="H53" s="3">
        <f t="shared" ca="1" si="0"/>
        <v>-8.9235917456776427E-3</v>
      </c>
      <c r="I53" s="3">
        <f t="shared" ca="1" si="0"/>
        <v>-4.0458585531896241E-2</v>
      </c>
      <c r="K53" s="3">
        <f t="shared" ca="1" si="1"/>
        <v>3.325571608025002E-2</v>
      </c>
      <c r="L53" s="3">
        <f t="shared" ca="1" si="2"/>
        <v>3.1534993786218601E-2</v>
      </c>
    </row>
    <row r="54" spans="2:12" x14ac:dyDescent="0.2">
      <c r="B54" vm="179">
        <f ca="1"/>
        <v>45597</v>
      </c>
      <c r="C54" vm="596">
        <f ca="1"/>
        <v>1985.17</v>
      </c>
      <c r="D54" vm="181">
        <f ca="1"/>
        <v>602.54999999999995</v>
      </c>
      <c r="E54" vm="182">
        <f ca="1"/>
        <v>100.57810000000001</v>
      </c>
      <c r="G54" s="3">
        <f t="shared" ca="1" si="0"/>
        <v>-2.5530390048989285E-2</v>
      </c>
      <c r="H54" s="3">
        <f t="shared" ca="1" si="0"/>
        <v>5.9633511536297076E-2</v>
      </c>
      <c r="I54" s="3">
        <f t="shared" ca="1" si="0"/>
        <v>3.990227339462446E-2</v>
      </c>
      <c r="K54" s="3">
        <f t="shared" ca="1" si="1"/>
        <v>-6.5432663443613745E-2</v>
      </c>
      <c r="L54" s="3">
        <f t="shared" ca="1" si="2"/>
        <v>1.9731238141672616E-2</v>
      </c>
    </row>
    <row r="55" spans="2:12" x14ac:dyDescent="0.2">
      <c r="B55" vm="183">
        <f ca="1"/>
        <v>45627</v>
      </c>
      <c r="C55" vm="597">
        <f ca="1"/>
        <v>1700.44</v>
      </c>
      <c r="D55" vm="185">
        <f ca="1"/>
        <v>586.08000000000004</v>
      </c>
      <c r="E55" vm="186">
        <f ca="1"/>
        <v>97.453100000000006</v>
      </c>
      <c r="G55" s="3">
        <f t="shared" ca="1" si="0"/>
        <v>-0.14342852249429519</v>
      </c>
      <c r="H55" s="3">
        <f t="shared" ca="1" si="0"/>
        <v>-2.7333831217326222E-2</v>
      </c>
      <c r="I55" s="3">
        <f t="shared" ca="1" si="0"/>
        <v>-3.1070382120958737E-2</v>
      </c>
      <c r="K55" s="3">
        <f t="shared" ca="1" si="1"/>
        <v>-0.11235814037333645</v>
      </c>
      <c r="L55" s="3">
        <f t="shared" ca="1" si="2"/>
        <v>3.7365509036325142E-3</v>
      </c>
    </row>
    <row r="56" spans="2:12" x14ac:dyDescent="0.2">
      <c r="B56" vm="187">
        <f ca="1"/>
        <v>45658</v>
      </c>
      <c r="C56" vm="598">
        <f ca="1"/>
        <v>1922.19</v>
      </c>
      <c r="D56" vm="189">
        <f ca="1"/>
        <v>601.82000000000005</v>
      </c>
      <c r="E56" vm="30">
        <f ca="1"/>
        <v>97.703100000000006</v>
      </c>
      <c r="G56" s="3">
        <f t="shared" ca="1" si="0"/>
        <v>0.13040742396085719</v>
      </c>
      <c r="H56" s="3">
        <f t="shared" ca="1" si="0"/>
        <v>2.6856401856401872E-2</v>
      </c>
      <c r="I56" s="3">
        <f t="shared" ca="1" si="0"/>
        <v>2.5653365567642281E-3</v>
      </c>
      <c r="K56" s="3">
        <f t="shared" ca="1" si="1"/>
        <v>0.12784208740409297</v>
      </c>
      <c r="L56" s="3">
        <f t="shared" ca="1" si="2"/>
        <v>2.4291065299637642E-2</v>
      </c>
    </row>
    <row r="57" spans="2:12" x14ac:dyDescent="0.2">
      <c r="B57" vm="190">
        <f ca="1"/>
        <v>45689</v>
      </c>
      <c r="C57" vm="599">
        <f ca="1"/>
        <v>2121.87</v>
      </c>
      <c r="D57" vm="192">
        <f ca="1"/>
        <v>594.17999999999995</v>
      </c>
      <c r="E57" vm="193">
        <f ca="1"/>
        <v>103.4063</v>
      </c>
      <c r="G57" s="3">
        <f t="shared" ca="1" si="0"/>
        <v>0.10388151015248223</v>
      </c>
      <c r="H57" s="3">
        <f t="shared" ca="1" si="0"/>
        <v>-1.2694825695390814E-2</v>
      </c>
      <c r="I57" s="3">
        <f t="shared" ca="1" si="0"/>
        <v>5.8372764016699524E-2</v>
      </c>
      <c r="K57" s="3">
        <f t="shared" ca="1" si="1"/>
        <v>4.5508746135782707E-2</v>
      </c>
      <c r="L57" s="3">
        <f t="shared" ca="1" si="2"/>
        <v>-7.1067589712090345E-2</v>
      </c>
    </row>
    <row r="58" spans="2:12" x14ac:dyDescent="0.2">
      <c r="B58" vm="194">
        <f ca="1"/>
        <v>45717</v>
      </c>
      <c r="C58" vm="600">
        <f ca="1"/>
        <v>1950.87</v>
      </c>
      <c r="D58" vm="195">
        <f ca="1"/>
        <v>559.39</v>
      </c>
      <c r="E58" vm="196">
        <f ca="1"/>
        <v>103.32810000000001</v>
      </c>
      <c r="G58" s="3">
        <f t="shared" ca="1" si="0"/>
        <v>-8.0589291521158221E-2</v>
      </c>
      <c r="H58" s="3">
        <f t="shared" ca="1" si="0"/>
        <v>-5.8551280756673006E-2</v>
      </c>
      <c r="I58" s="3">
        <f t="shared" ca="1" si="0"/>
        <v>-7.5624019039454446E-4</v>
      </c>
      <c r="K58" s="3">
        <f t="shared" ca="1" si="1"/>
        <v>-7.9833051330763682E-2</v>
      </c>
      <c r="L58" s="3">
        <f t="shared" ca="1" si="2"/>
        <v>-5.7795040566278461E-2</v>
      </c>
    </row>
    <row r="59" spans="2:12" x14ac:dyDescent="0.2">
      <c r="B59" vm="197">
        <f ca="1"/>
        <v>45748</v>
      </c>
      <c r="C59" vm="601">
        <f ca="1"/>
        <v>2330.85</v>
      </c>
      <c r="D59" vm="199">
        <f ca="1"/>
        <v>554.54</v>
      </c>
      <c r="E59" vm="200">
        <f ca="1"/>
        <v>103.5313</v>
      </c>
      <c r="G59" s="3">
        <f t="shared" ca="1" si="0"/>
        <v>0.19477463900721217</v>
      </c>
      <c r="H59" s="3">
        <f t="shared" ca="1" si="0"/>
        <v>-8.6701585655804044E-3</v>
      </c>
      <c r="I59" s="3">
        <f t="shared" ca="1" si="0"/>
        <v>1.9665512092063571E-3</v>
      </c>
      <c r="K59" s="3">
        <f t="shared" ca="1" si="1"/>
        <v>0.19280808779800582</v>
      </c>
      <c r="L59" s="3">
        <f t="shared" ca="1" si="2"/>
        <v>-1.0636709774786762E-2</v>
      </c>
    </row>
    <row r="60" spans="2:12" x14ac:dyDescent="0.2">
      <c r="B60" vm="201">
        <f ca="1"/>
        <v>45778</v>
      </c>
      <c r="C60" vm="602">
        <f ca="1"/>
        <v>2563.29</v>
      </c>
      <c r="D60" vm="203">
        <f ca="1"/>
        <v>589.39</v>
      </c>
      <c r="E60" vm="204">
        <f ca="1"/>
        <v>98.8125</v>
      </c>
      <c r="G60" s="3">
        <f t="shared" ca="1" si="0"/>
        <v>9.9723276916146492E-2</v>
      </c>
      <c r="H60" s="3">
        <f t="shared" ca="1" si="0"/>
        <v>6.284488044144701E-2</v>
      </c>
      <c r="I60" s="3">
        <f t="shared" ca="1" si="0"/>
        <v>-4.5578486892369763E-2</v>
      </c>
      <c r="K60" s="3">
        <f t="shared" ca="1" si="1"/>
        <v>0.14530176380851625</v>
      </c>
      <c r="L60" s="3">
        <f t="shared" ca="1" si="2"/>
        <v>0.10842336733381677</v>
      </c>
    </row>
    <row r="61" spans="2:12" x14ac:dyDescent="0.2">
      <c r="B61" vm="205">
        <f ca="1"/>
        <v>45809</v>
      </c>
      <c r="C61" vm="603">
        <f ca="1"/>
        <v>2613.63</v>
      </c>
      <c r="D61" vm="207">
        <f ca="1"/>
        <v>617.85</v>
      </c>
      <c r="E61" vm="15">
        <f ca="1"/>
        <v>100.14060000000001</v>
      </c>
      <c r="G61" s="3">
        <f t="shared" ca="1" si="0"/>
        <v>1.9638823543180892E-2</v>
      </c>
      <c r="H61" s="3">
        <f t="shared" ca="1" si="0"/>
        <v>4.828721220244666E-2</v>
      </c>
      <c r="I61" s="3">
        <f t="shared" ca="1" si="0"/>
        <v>1.3440607210626249E-2</v>
      </c>
      <c r="K61" s="3">
        <f t="shared" ca="1" si="1"/>
        <v>6.198216332554643E-3</v>
      </c>
      <c r="L61" s="3">
        <f t="shared" ca="1" si="2"/>
        <v>3.4846604991820407E-2</v>
      </c>
    </row>
    <row r="62" spans="2:12" x14ac:dyDescent="0.2">
      <c r="B62" vm="208">
        <f ca="1"/>
        <v>45839</v>
      </c>
      <c r="C62" vm="604">
        <f ca="1"/>
        <v>2373.89</v>
      </c>
      <c r="D62" vm="210">
        <f ca="1"/>
        <v>632.08000000000004</v>
      </c>
      <c r="E62" vm="211">
        <f ca="1"/>
        <v>98.953100000000006</v>
      </c>
      <c r="G62" s="3">
        <f t="shared" ca="1" si="0"/>
        <v>-9.1726832030547642E-2</v>
      </c>
      <c r="H62" s="3">
        <f t="shared" ca="1" si="0"/>
        <v>2.3031480132718326E-2</v>
      </c>
      <c r="I62" s="3">
        <f t="shared" ca="1" si="0"/>
        <v>-1.1858327191968093E-2</v>
      </c>
      <c r="K62" s="3">
        <f t="shared" ca="1" si="1"/>
        <v>-7.9868504838579546E-2</v>
      </c>
      <c r="L62" s="3">
        <f t="shared" ca="1" si="2"/>
        <v>3.4889807324686418E-2</v>
      </c>
    </row>
    <row r="63" spans="2:12" x14ac:dyDescent="0.2">
      <c r="B63" vm="212">
        <f ca="1"/>
        <v>45870</v>
      </c>
      <c r="C63" vm="605">
        <f ca="1"/>
        <v>2472.91</v>
      </c>
      <c r="D63" vm="214">
        <f ca="1"/>
        <v>645.04999999999995</v>
      </c>
      <c r="E63" vm="15">
        <f ca="1"/>
        <v>100.14060000000001</v>
      </c>
      <c r="G63" s="3">
        <f t="shared" ca="1" si="0"/>
        <v>4.1712126509652926E-2</v>
      </c>
      <c r="H63" s="3">
        <f t="shared" ca="1" si="0"/>
        <v>2.051955448677369E-2</v>
      </c>
      <c r="I63" s="3">
        <f t="shared" ca="1" si="0"/>
        <v>1.2000634644088966E-2</v>
      </c>
      <c r="K63" s="3">
        <f t="shared" ca="1" si="1"/>
        <v>2.971149186556396E-2</v>
      </c>
      <c r="L63" s="3">
        <f t="shared" ca="1" si="2"/>
        <v>8.5189198426847239E-3</v>
      </c>
    </row>
    <row r="64" spans="2:12" x14ac:dyDescent="0.2">
      <c r="B64" vm="215">
        <f ca="1"/>
        <v>45901</v>
      </c>
      <c r="C64" vm="606">
        <f ca="1"/>
        <v>2336.94</v>
      </c>
      <c r="D64" vm="217">
        <f ca="1"/>
        <v>666.18</v>
      </c>
      <c r="E64" vm="218">
        <f ca="1"/>
        <v>100.75</v>
      </c>
      <c r="G64" s="3">
        <f t="shared" ca="1" si="0"/>
        <v>-5.4983804505622853E-2</v>
      </c>
      <c r="H64" s="3">
        <f t="shared" ca="1" si="0"/>
        <v>3.275715060847996E-2</v>
      </c>
      <c r="I64" s="3">
        <f t="shared" ca="1" si="0"/>
        <v>6.085443865924447E-3</v>
      </c>
      <c r="K64" s="3">
        <f t="shared" ca="1" si="1"/>
        <v>-6.1069248371547299E-2</v>
      </c>
      <c r="L64" s="3">
        <f t="shared" ca="1" si="2"/>
        <v>2.6671706742555513E-2</v>
      </c>
    </row>
    <row r="65" spans="2:12" x14ac:dyDescent="0.2">
      <c r="B65" vm="219">
        <f ca="1"/>
        <v>45931</v>
      </c>
      <c r="C65" vm="607">
        <f ca="1"/>
        <v>2327.2600000000002</v>
      </c>
      <c r="D65" vm="221">
        <f ca="1"/>
        <v>682.06</v>
      </c>
      <c r="E65" vm="222">
        <f ca="1"/>
        <v>101.32810000000001</v>
      </c>
      <c r="G65" s="3">
        <f t="shared" ca="1" si="0"/>
        <v>-4.1421688190539062E-3</v>
      </c>
      <c r="H65" s="3">
        <f t="shared" ca="1" si="0"/>
        <v>2.3837401302951148E-2</v>
      </c>
      <c r="I65" s="3">
        <f t="shared" ca="1" si="0"/>
        <v>5.7379652605459679E-3</v>
      </c>
      <c r="K65" s="3">
        <f t="shared" ca="1" si="1"/>
        <v>-9.8801340795998741E-3</v>
      </c>
      <c r="L65" s="3">
        <f t="shared" ca="1" si="2"/>
        <v>1.809943604240518E-2</v>
      </c>
    </row>
    <row r="66" spans="2:12" x14ac:dyDescent="0.2">
      <c r="B66" vm="223">
        <f ca="1"/>
        <v>45962</v>
      </c>
      <c r="C66" vm="608">
        <f ca="1"/>
        <v>2071.7800000000002</v>
      </c>
      <c r="D66" vm="225">
        <f ca="1"/>
        <v>683.39</v>
      </c>
      <c r="E66" vm="226">
        <f ca="1"/>
        <v>99.859399999999994</v>
      </c>
      <c r="G66" s="3">
        <f t="shared" ca="1" si="0"/>
        <v>-0.1097771628438593</v>
      </c>
      <c r="H66" s="3">
        <f t="shared" ca="1" si="0"/>
        <v>1.9499750755066138E-3</v>
      </c>
      <c r="I66" s="3">
        <f t="shared" ca="1" si="0"/>
        <v>-1.4494498564564149E-2</v>
      </c>
      <c r="K66" s="3">
        <f t="shared" ca="1" si="1"/>
        <v>-9.5282664279295146E-2</v>
      </c>
      <c r="L66" s="3">
        <f t="shared" ca="1" si="2"/>
        <v>1.6444473640070761E-2</v>
      </c>
    </row>
    <row r="67" spans="2:12" x14ac:dyDescent="0.2">
      <c r="B67" vm="227">
        <f ca="1"/>
        <v>45992</v>
      </c>
      <c r="C67" vm="609">
        <f ca="1"/>
        <v>2014.26</v>
      </c>
      <c r="D67" vm="229">
        <f ca="1"/>
        <v>681.92</v>
      </c>
      <c r="E67" vm="230">
        <f ca="1"/>
        <v>98.6875</v>
      </c>
      <c r="G67" s="3">
        <f t="shared" ca="1" si="0"/>
        <v>-2.776356562955536E-2</v>
      </c>
      <c r="H67" s="3">
        <f t="shared" ca="1" si="0"/>
        <v>-2.151041133174362E-3</v>
      </c>
      <c r="I67" s="3">
        <f t="shared" ca="1" si="0"/>
        <v>-1.1735500113159039E-2</v>
      </c>
      <c r="K67" s="3">
        <f t="shared" ca="1" si="1"/>
        <v>-1.6028065516396323E-2</v>
      </c>
      <c r="L67" s="3">
        <f t="shared" ca="1" si="2"/>
        <v>9.5844589799846773E-3</v>
      </c>
    </row>
    <row r="68" spans="2:12" x14ac:dyDescent="0.2">
      <c r="B68" vm="231">
        <f ca="1"/>
        <v>46023</v>
      </c>
      <c r="C68" vm="610">
        <f ca="1"/>
        <v>2147.79</v>
      </c>
      <c r="D68" vm="233">
        <f ca="1"/>
        <v>691.97</v>
      </c>
      <c r="E68" vm="234">
        <f ca="1"/>
        <v>98.078100000000006</v>
      </c>
      <c r="G68" s="3">
        <f t="shared" ca="1" si="0"/>
        <v>6.6292335646838035E-2</v>
      </c>
      <c r="H68" s="3">
        <f t="shared" ca="1" si="0"/>
        <v>1.4737799155326239E-2</v>
      </c>
      <c r="I68" s="3">
        <f t="shared" ca="1" si="0"/>
        <v>-6.1750474984166555E-3</v>
      </c>
      <c r="K68" s="3">
        <f t="shared" ca="1" si="1"/>
        <v>7.2467383145254693E-2</v>
      </c>
      <c r="L68" s="3">
        <f t="shared" ca="1" si="2"/>
        <v>2.0912846653742895E-2</v>
      </c>
    </row>
    <row r="69" spans="2:12" x14ac:dyDescent="0.2">
      <c r="B69" vm="235">
        <f ca="1"/>
        <v>46054</v>
      </c>
      <c r="C69" vm="611">
        <f ca="1"/>
        <v>1757.58</v>
      </c>
      <c r="D69" vm="237">
        <f ca="1"/>
        <v>685.99</v>
      </c>
      <c r="E69" vm="238">
        <f ca="1"/>
        <v>101.4375</v>
      </c>
      <c r="G69" s="3">
        <f t="shared" ca="1" si="0"/>
        <v>-0.18167977316218067</v>
      </c>
      <c r="H69" s="3">
        <f t="shared" ca="1" si="0"/>
        <v>-8.6419931499920784E-3</v>
      </c>
      <c r="I69" s="3">
        <f t="shared" ca="1" si="0"/>
        <v>3.4252294854814617E-2</v>
      </c>
      <c r="K69" s="3">
        <f t="shared" ca="1" si="1"/>
        <v>-0.2159320680169953</v>
      </c>
      <c r="L69" s="3">
        <f t="shared" ca="1" si="2"/>
        <v>-4.2894288004806699E-2</v>
      </c>
    </row>
    <row r="70" spans="2:12" x14ac:dyDescent="0.2">
      <c r="B70" vm="239">
        <f ca="1"/>
        <v>46082</v>
      </c>
      <c r="C70" vm="612">
        <f ca="1"/>
        <v>1670</v>
      </c>
      <c r="D70" vm="241">
        <f ca="1"/>
        <v>662.29</v>
      </c>
      <c r="E70" vm="242">
        <f ca="1"/>
        <v>98.734399999999994</v>
      </c>
      <c r="G70" s="3">
        <f t="shared" ca="1" si="0"/>
        <v>-4.9829879720979943E-2</v>
      </c>
      <c r="H70" s="3">
        <f t="shared" ca="1" si="0"/>
        <v>-3.4548608580300073E-2</v>
      </c>
      <c r="I70" s="3">
        <f t="shared" ca="1" si="0"/>
        <v>-2.6647935921133764E-2</v>
      </c>
      <c r="K70" s="3">
        <f t="shared" ca="1" si="1"/>
        <v>-2.3181943799846179E-2</v>
      </c>
      <c r="L70" s="3">
        <f t="shared" ca="1" si="2"/>
        <v>-7.9006726591663093E-3</v>
      </c>
    </row>
  </sheetData>
  <pageMargins left="0.7" right="0.7" top="0.75" bottom="0.75" header="0.3" footer="0.3"/>
  <pageSetup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B20B3-F86E-4295-856F-0880E133EDDF}">
  <dimension ref="B2:L70"/>
  <sheetViews>
    <sheetView showGridLines="0" tabSelected="1" workbookViewId="0">
      <selection activeCell="D5" sqref="D5"/>
    </sheetView>
  </sheetViews>
  <sheetFormatPr baseColWidth="10" defaultColWidth="8.83203125" defaultRowHeight="15" x14ac:dyDescent="0.2"/>
  <cols>
    <col min="2" max="2" width="10.83203125" bestFit="1" customWidth="1"/>
    <col min="3" max="3" width="10.83203125" customWidth="1"/>
    <col min="4" max="4" width="12" bestFit="1" customWidth="1"/>
    <col min="5" max="5" width="10.5" bestFit="1" customWidth="1"/>
    <col min="11" max="11" width="10.5" customWidth="1"/>
  </cols>
  <sheetData>
    <row r="2" spans="2:12" x14ac:dyDescent="0.2">
      <c r="B2" t="e" vm="613">
        <v>#VALUE!</v>
      </c>
      <c r="G2" s="7" t="s">
        <v>238</v>
      </c>
      <c r="H2" s="7">
        <f ca="1">INDEX(LINEST(K11:K70,L11:L70,1,1),1,1)</f>
        <v>8.5771244005880681E-2</v>
      </c>
    </row>
    <row r="3" spans="2:12" x14ac:dyDescent="0.2">
      <c r="B3" t="e" vm="3">
        <v>#VALUE!</v>
      </c>
      <c r="G3" s="7" t="s">
        <v>239</v>
      </c>
      <c r="H3" s="61">
        <f ca="1">INDEX(LINEST(K11:K70,L11:L70,1,1),2,1)</f>
        <v>0.37903753973488175</v>
      </c>
    </row>
    <row r="4" spans="2:12" x14ac:dyDescent="0.2">
      <c r="B4" t="e" vm="1">
        <v>#VALUE!</v>
      </c>
    </row>
    <row r="6" spans="2:12" x14ac:dyDescent="0.2">
      <c r="B6" s="50">
        <v>44256</v>
      </c>
      <c r="C6" s="50"/>
    </row>
    <row r="7" spans="2:12" x14ac:dyDescent="0.2">
      <c r="B7" s="50">
        <v>46082</v>
      </c>
      <c r="C7" s="50"/>
    </row>
    <row r="9" spans="2:12" x14ac:dyDescent="0.2">
      <c r="C9" t="s">
        <v>240</v>
      </c>
      <c r="D9" t="s">
        <v>241</v>
      </c>
      <c r="E9" t="s">
        <v>242</v>
      </c>
    </row>
    <row r="10" spans="2:12" x14ac:dyDescent="0.2">
      <c r="B10" cm="1" vm="4">
        <f t="array" aca="1" ref="B10:C70" ca="1">_xlfn.STOCKHISTORY(B2,$B$6,$B$7,2,0)</f>
        <v>44256</v>
      </c>
      <c r="C10" vm="614">
        <f ca="1"/>
        <v>224.94110000000001</v>
      </c>
      <c r="D10" cm="1" vm="6">
        <f t="array" aca="1" ref="D10:D70" ca="1">_xlfn.STOCKHISTORY(B3,$B$6,$B$7,2,0,1)</f>
        <v>396.33</v>
      </c>
      <c r="E10" cm="1" vm="7">
        <f t="array" aca="1" ref="E10:E70" ca="1">_xlfn.STOCKHISTORY(B4,$B$6,$B$7,2,0,1)</f>
        <v>94.484399999999994</v>
      </c>
      <c r="G10" t="s">
        <v>243</v>
      </c>
      <c r="H10" t="s">
        <v>244</v>
      </c>
      <c r="I10" t="s">
        <v>245</v>
      </c>
      <c r="K10" t="s">
        <v>246</v>
      </c>
      <c r="L10" t="s">
        <v>247</v>
      </c>
    </row>
    <row r="11" spans="2:12" x14ac:dyDescent="0.2">
      <c r="B11" vm="8">
        <f ca="1"/>
        <v>44287</v>
      </c>
      <c r="C11" vm="615">
        <f ca="1"/>
        <v>229.12780000000001</v>
      </c>
      <c r="D11" vm="10">
        <f ca="1"/>
        <v>417.3</v>
      </c>
      <c r="E11" vm="11">
        <f ca="1"/>
        <v>95.484399999999994</v>
      </c>
      <c r="G11" s="3">
        <f ca="1">(C11-C10)/C10</f>
        <v>1.8612427875563879E-2</v>
      </c>
      <c r="H11" s="3">
        <f ca="1">(D11-D10)/D10</f>
        <v>5.291045341003716E-2</v>
      </c>
      <c r="I11" s="3">
        <f ca="1">(E11-E10)/E10</f>
        <v>1.0583757742018789E-2</v>
      </c>
      <c r="K11" s="3">
        <f ca="1">G11-I11</f>
        <v>8.0286701335450898E-3</v>
      </c>
      <c r="L11" s="3">
        <f ca="1">H11-I11</f>
        <v>4.2326695668018374E-2</v>
      </c>
    </row>
    <row r="12" spans="2:12" x14ac:dyDescent="0.2">
      <c r="B12" vm="12">
        <f ca="1"/>
        <v>44317</v>
      </c>
      <c r="C12" vm="616">
        <f ca="1"/>
        <v>212.27189999999999</v>
      </c>
      <c r="D12" vm="14">
        <f ca="1"/>
        <v>420.04</v>
      </c>
      <c r="E12" vm="15">
        <f ca="1"/>
        <v>100.14060000000001</v>
      </c>
      <c r="G12" s="3">
        <f t="shared" ref="G12:I70" ca="1" si="0">(C12-C11)/C11</f>
        <v>-7.3565494889751573E-2</v>
      </c>
      <c r="H12" s="3">
        <f t="shared" ca="1" si="0"/>
        <v>6.566019650131821E-3</v>
      </c>
      <c r="I12" s="3">
        <f t="shared" ca="1" si="0"/>
        <v>4.8763986577912338E-2</v>
      </c>
      <c r="K12" s="3">
        <f t="shared" ref="K12:K70" ca="1" si="1">G12-I12</f>
        <v>-0.12232948146766391</v>
      </c>
      <c r="L12" s="3">
        <f t="shared" ref="L12:L70" ca="1" si="2">H12-I12</f>
        <v>-4.2197966927780516E-2</v>
      </c>
    </row>
    <row r="13" spans="2:12" x14ac:dyDescent="0.2">
      <c r="B13" vm="16">
        <f ca="1"/>
        <v>44348</v>
      </c>
      <c r="C13" vm="617">
        <f ca="1"/>
        <v>224.9907</v>
      </c>
      <c r="D13" vm="18">
        <f ca="1"/>
        <v>428.06</v>
      </c>
      <c r="E13" vm="19">
        <f ca="1"/>
        <v>101.4063</v>
      </c>
      <c r="G13" s="3">
        <f t="shared" ca="1" si="0"/>
        <v>5.9917492612069786E-2</v>
      </c>
      <c r="H13" s="3">
        <f t="shared" ca="1" si="0"/>
        <v>1.9093419674316686E-2</v>
      </c>
      <c r="I13" s="3">
        <f t="shared" ca="1" si="0"/>
        <v>1.2639229243683334E-2</v>
      </c>
      <c r="K13" s="3">
        <f t="shared" ca="1" si="1"/>
        <v>4.7278263368386454E-2</v>
      </c>
      <c r="L13" s="3">
        <f t="shared" ca="1" si="2"/>
        <v>6.4541904306333522E-3</v>
      </c>
    </row>
    <row r="14" spans="2:12" x14ac:dyDescent="0.2">
      <c r="B14" vm="20">
        <f ca="1"/>
        <v>44378</v>
      </c>
      <c r="C14" vm="618">
        <f ca="1"/>
        <v>193.65</v>
      </c>
      <c r="D14" vm="22">
        <f ca="1"/>
        <v>438.51</v>
      </c>
      <c r="E14" vm="23">
        <f ca="1"/>
        <v>103.67189999999999</v>
      </c>
      <c r="G14" s="3">
        <f t="shared" ca="1" si="0"/>
        <v>-0.13929775764064914</v>
      </c>
      <c r="H14" s="3">
        <f t="shared" ca="1" si="0"/>
        <v>2.4412465542213681E-2</v>
      </c>
      <c r="I14" s="3">
        <f t="shared" ca="1" si="0"/>
        <v>2.2341807165826896E-2</v>
      </c>
      <c r="K14" s="3">
        <f t="shared" ca="1" si="1"/>
        <v>-0.16163956480647604</v>
      </c>
      <c r="L14" s="3">
        <f t="shared" ca="1" si="2"/>
        <v>2.0706583763867858E-3</v>
      </c>
    </row>
    <row r="15" spans="2:12" x14ac:dyDescent="0.2">
      <c r="B15" vm="24">
        <f ca="1"/>
        <v>44409</v>
      </c>
      <c r="C15" vm="619">
        <f ca="1"/>
        <v>165.67240000000001</v>
      </c>
      <c r="D15" vm="25">
        <f ca="1"/>
        <v>451.56</v>
      </c>
      <c r="E15" vm="26">
        <f ca="1"/>
        <v>99.406300000000002</v>
      </c>
      <c r="G15" s="3">
        <f t="shared" ca="1" si="0"/>
        <v>-0.1444750839142783</v>
      </c>
      <c r="H15" s="3">
        <f t="shared" ca="1" si="0"/>
        <v>2.9759868646097035E-2</v>
      </c>
      <c r="I15" s="3">
        <f t="shared" ca="1" si="0"/>
        <v>-4.1145189776593198E-2</v>
      </c>
      <c r="K15" s="3">
        <f t="shared" ca="1" si="1"/>
        <v>-0.10332989413768509</v>
      </c>
      <c r="L15" s="3">
        <f t="shared" ca="1" si="2"/>
        <v>7.0905058422690237E-2</v>
      </c>
    </row>
    <row r="16" spans="2:12" x14ac:dyDescent="0.2">
      <c r="B16" vm="27">
        <f ca="1"/>
        <v>44440</v>
      </c>
      <c r="C16" vm="620">
        <f ca="1"/>
        <v>146.8819</v>
      </c>
      <c r="D16" vm="29">
        <f ca="1"/>
        <v>429.14</v>
      </c>
      <c r="E16" vm="30">
        <f ca="1"/>
        <v>97.703100000000006</v>
      </c>
      <c r="G16" s="3">
        <f t="shared" ca="1" si="0"/>
        <v>-0.11341961606157699</v>
      </c>
      <c r="H16" s="3">
        <f t="shared" ca="1" si="0"/>
        <v>-4.9650101869076126E-2</v>
      </c>
      <c r="I16" s="3">
        <f t="shared" ca="1" si="0"/>
        <v>-1.7133722912934041E-2</v>
      </c>
      <c r="K16" s="3">
        <f t="shared" ca="1" si="1"/>
        <v>-9.6285893148642956E-2</v>
      </c>
      <c r="L16" s="3">
        <f t="shared" ca="1" si="2"/>
        <v>-3.2516378956142081E-2</v>
      </c>
    </row>
    <row r="17" spans="2:12" x14ac:dyDescent="0.2">
      <c r="B17" vm="31">
        <f ca="1"/>
        <v>44470</v>
      </c>
      <c r="C17" vm="621">
        <f ca="1"/>
        <v>163.6386</v>
      </c>
      <c r="D17" vm="33">
        <f ca="1"/>
        <v>459.25</v>
      </c>
      <c r="E17" vm="34">
        <f ca="1"/>
        <v>97.078100000000006</v>
      </c>
      <c r="G17" s="3">
        <f t="shared" ca="1" si="0"/>
        <v>0.11408281074795461</v>
      </c>
      <c r="H17" s="3">
        <f t="shared" ca="1" si="0"/>
        <v>7.0163582979913347E-2</v>
      </c>
      <c r="I17" s="3">
        <f t="shared" ca="1" si="0"/>
        <v>-6.3969311106812365E-3</v>
      </c>
      <c r="K17" s="3">
        <f t="shared" ca="1" si="1"/>
        <v>0.12047974185863584</v>
      </c>
      <c r="L17" s="3">
        <f t="shared" ca="1" si="2"/>
        <v>7.6560514090594584E-2</v>
      </c>
    </row>
    <row r="18" spans="2:12" x14ac:dyDescent="0.2">
      <c r="B18" vm="35">
        <f ca="1"/>
        <v>44501</v>
      </c>
      <c r="C18" vm="622">
        <f ca="1"/>
        <v>126.52379999999999</v>
      </c>
      <c r="D18" vm="37">
        <f ca="1"/>
        <v>455.56</v>
      </c>
      <c r="E18" vm="38">
        <f ca="1"/>
        <v>98.656300000000002</v>
      </c>
      <c r="G18" s="3">
        <f t="shared" ca="1" si="0"/>
        <v>-0.22680956693591856</v>
      </c>
      <c r="H18" s="3">
        <f t="shared" ca="1" si="0"/>
        <v>-8.0348394120849168E-3</v>
      </c>
      <c r="I18" s="3">
        <f t="shared" ca="1" si="0"/>
        <v>1.6257013682797618E-2</v>
      </c>
      <c r="K18" s="3">
        <f t="shared" ca="1" si="1"/>
        <v>-0.24306658061871617</v>
      </c>
      <c r="L18" s="3">
        <f t="shared" ca="1" si="2"/>
        <v>-2.4291853094882535E-2</v>
      </c>
    </row>
    <row r="19" spans="2:12" x14ac:dyDescent="0.2">
      <c r="B19" vm="39">
        <f ca="1"/>
        <v>44531</v>
      </c>
      <c r="C19" vm="623">
        <f ca="1"/>
        <v>117.8527</v>
      </c>
      <c r="D19" vm="41">
        <f ca="1"/>
        <v>474.96</v>
      </c>
      <c r="E19" vm="42">
        <f ca="1"/>
        <v>98.75</v>
      </c>
      <c r="G19" s="3">
        <f t="shared" ca="1" si="0"/>
        <v>-6.8533351037512277E-2</v>
      </c>
      <c r="H19" s="3">
        <f t="shared" ca="1" si="0"/>
        <v>4.2584950390727842E-2</v>
      </c>
      <c r="I19" s="3">
        <f t="shared" ca="1" si="0"/>
        <v>9.4976195134014081E-4</v>
      </c>
      <c r="K19" s="3">
        <f t="shared" ca="1" si="1"/>
        <v>-6.9483112988852416E-2</v>
      </c>
      <c r="L19" s="3">
        <f t="shared" ca="1" si="2"/>
        <v>4.1635188439387703E-2</v>
      </c>
    </row>
    <row r="20" spans="2:12" x14ac:dyDescent="0.2">
      <c r="B20" vm="43">
        <f ca="1"/>
        <v>44562</v>
      </c>
      <c r="C20" vm="624">
        <f ca="1"/>
        <v>124.7975</v>
      </c>
      <c r="D20" vm="45">
        <f ca="1"/>
        <v>449.91</v>
      </c>
      <c r="E20" vm="46">
        <f ca="1"/>
        <v>96.296899999999994</v>
      </c>
      <c r="G20" s="3">
        <f t="shared" ca="1" si="0"/>
        <v>5.8927797156959498E-2</v>
      </c>
      <c r="H20" s="3">
        <f t="shared" ca="1" si="0"/>
        <v>-5.2741283476503191E-2</v>
      </c>
      <c r="I20" s="3">
        <f t="shared" ca="1" si="0"/>
        <v>-2.4841518987341837E-2</v>
      </c>
      <c r="K20" s="3">
        <f t="shared" ca="1" si="1"/>
        <v>8.3769316144301331E-2</v>
      </c>
      <c r="L20" s="3">
        <f t="shared" ca="1" si="2"/>
        <v>-2.7899764489161354E-2</v>
      </c>
    </row>
    <row r="21" spans="2:12" x14ac:dyDescent="0.2">
      <c r="B21" vm="47">
        <f ca="1"/>
        <v>44593</v>
      </c>
      <c r="C21" vm="625">
        <f ca="1"/>
        <v>104.3601</v>
      </c>
      <c r="D21" vm="49">
        <f ca="1"/>
        <v>436.63</v>
      </c>
      <c r="E21" vm="50">
        <f ca="1"/>
        <v>99.75</v>
      </c>
      <c r="G21" s="3">
        <f t="shared" ca="1" si="0"/>
        <v>-0.16376449848754981</v>
      </c>
      <c r="H21" s="3">
        <f t="shared" ca="1" si="0"/>
        <v>-2.9517014514013978E-2</v>
      </c>
      <c r="I21" s="3">
        <f t="shared" ca="1" si="0"/>
        <v>3.5858890576955293E-2</v>
      </c>
      <c r="K21" s="3">
        <f t="shared" ca="1" si="1"/>
        <v>-0.19962338906450511</v>
      </c>
      <c r="L21" s="3">
        <f t="shared" ca="1" si="2"/>
        <v>-6.5375905090969272E-2</v>
      </c>
    </row>
    <row r="22" spans="2:12" x14ac:dyDescent="0.2">
      <c r="B22" vm="51">
        <f ca="1"/>
        <v>44621</v>
      </c>
      <c r="C22" vm="626">
        <f ca="1"/>
        <v>107.94159999999999</v>
      </c>
      <c r="D22" vm="53">
        <f ca="1"/>
        <v>451.64</v>
      </c>
      <c r="E22" vm="54">
        <f ca="1"/>
        <v>95.8125</v>
      </c>
      <c r="G22" s="3">
        <f t="shared" ca="1" si="0"/>
        <v>3.4318671599586348E-2</v>
      </c>
      <c r="H22" s="3">
        <f t="shared" ca="1" si="0"/>
        <v>3.4376932414172161E-2</v>
      </c>
      <c r="I22" s="3">
        <f t="shared" ca="1" si="0"/>
        <v>-3.9473684210526314E-2</v>
      </c>
      <c r="K22" s="3">
        <f t="shared" ca="1" si="1"/>
        <v>7.3792355810112661E-2</v>
      </c>
      <c r="L22" s="3">
        <f t="shared" ca="1" si="2"/>
        <v>7.3850616624698467E-2</v>
      </c>
    </row>
    <row r="23" spans="2:12" x14ac:dyDescent="0.2">
      <c r="B23" vm="55">
        <f ca="1"/>
        <v>44652</v>
      </c>
      <c r="C23" vm="627">
        <f ca="1"/>
        <v>96.323999999999998</v>
      </c>
      <c r="D23" vm="57">
        <f ca="1"/>
        <v>412</v>
      </c>
      <c r="E23" vm="58">
        <f ca="1"/>
        <v>91.015600000000006</v>
      </c>
      <c r="G23" s="3">
        <f t="shared" ca="1" si="0"/>
        <v>-0.10762856952277895</v>
      </c>
      <c r="H23" s="3">
        <f t="shared" ca="1" si="0"/>
        <v>-8.7769019573111298E-2</v>
      </c>
      <c r="I23" s="3">
        <f t="shared" ca="1" si="0"/>
        <v>-5.0065492498369148E-2</v>
      </c>
      <c r="K23" s="3">
        <f t="shared" ca="1" si="1"/>
        <v>-5.7563077024409805E-2</v>
      </c>
      <c r="L23" s="3">
        <f t="shared" ca="1" si="2"/>
        <v>-3.7703527074742151E-2</v>
      </c>
    </row>
    <row r="24" spans="2:12" x14ac:dyDescent="0.2">
      <c r="B24" vm="59">
        <f ca="1"/>
        <v>44682</v>
      </c>
      <c r="C24" vm="628">
        <f ca="1"/>
        <v>95.292199999999994</v>
      </c>
      <c r="D24" vm="61">
        <f ca="1"/>
        <v>412.93</v>
      </c>
      <c r="E24" vm="62">
        <f ca="1"/>
        <v>100.0938</v>
      </c>
      <c r="G24" s="3">
        <f t="shared" ca="1" si="0"/>
        <v>-1.0711764461608779E-2</v>
      </c>
      <c r="H24" s="3">
        <f t="shared" ca="1" si="0"/>
        <v>2.2572815533980746E-3</v>
      </c>
      <c r="I24" s="3">
        <f t="shared" ca="1" si="0"/>
        <v>9.9743340702033445E-2</v>
      </c>
      <c r="K24" s="3">
        <f t="shared" ca="1" si="1"/>
        <v>-0.11045510516364222</v>
      </c>
      <c r="L24" s="3">
        <f t="shared" ca="1" si="2"/>
        <v>-9.7486059148635368E-2</v>
      </c>
    </row>
    <row r="25" spans="2:12" x14ac:dyDescent="0.2">
      <c r="B25" vm="63">
        <f ca="1"/>
        <v>44713</v>
      </c>
      <c r="C25" vm="629">
        <f ca="1"/>
        <v>112.7831</v>
      </c>
      <c r="D25" vm="65">
        <f ca="1"/>
        <v>377.25</v>
      </c>
      <c r="E25" vm="66">
        <f ca="1"/>
        <v>98.796899999999994</v>
      </c>
      <c r="G25" s="3">
        <f t="shared" ca="1" si="0"/>
        <v>0.18355017514549996</v>
      </c>
      <c r="H25" s="3">
        <f t="shared" ca="1" si="0"/>
        <v>-8.6406897052769244E-2</v>
      </c>
      <c r="I25" s="3">
        <f t="shared" ca="1" si="0"/>
        <v>-1.2956846478003712E-2</v>
      </c>
      <c r="K25" s="3">
        <f t="shared" ca="1" si="1"/>
        <v>0.19650702162350367</v>
      </c>
      <c r="L25" s="3">
        <f t="shared" ca="1" si="2"/>
        <v>-7.345005057476553E-2</v>
      </c>
    </row>
    <row r="26" spans="2:12" x14ac:dyDescent="0.2">
      <c r="B26" vm="67">
        <f ca="1"/>
        <v>44743</v>
      </c>
      <c r="C26" vm="630">
        <f ca="1"/>
        <v>88.664900000000003</v>
      </c>
      <c r="D26" vm="69">
        <f ca="1"/>
        <v>411.99</v>
      </c>
      <c r="E26" vm="70">
        <f ca="1"/>
        <v>101.7813</v>
      </c>
      <c r="G26" s="3">
        <f t="shared" ca="1" si="0"/>
        <v>-0.21384586875161263</v>
      </c>
      <c r="H26" s="3">
        <f t="shared" ca="1" si="0"/>
        <v>9.2087475149105397E-2</v>
      </c>
      <c r="I26" s="3">
        <f t="shared" ca="1" si="0"/>
        <v>3.0207425536631291E-2</v>
      </c>
      <c r="K26" s="3">
        <f t="shared" ca="1" si="1"/>
        <v>-0.2440532942882439</v>
      </c>
      <c r="L26" s="3">
        <f t="shared" ca="1" si="2"/>
        <v>6.1880049612474106E-2</v>
      </c>
    </row>
    <row r="27" spans="2:12" x14ac:dyDescent="0.2">
      <c r="B27" vm="71">
        <f ca="1"/>
        <v>44774</v>
      </c>
      <c r="C27" vm="631">
        <f ca="1"/>
        <v>94.657200000000003</v>
      </c>
      <c r="D27" vm="73">
        <f ca="1"/>
        <v>395.18</v>
      </c>
      <c r="E27" vm="74">
        <f ca="1"/>
        <v>96.234399999999994</v>
      </c>
      <c r="G27" s="3">
        <f t="shared" ca="1" si="0"/>
        <v>6.758367741913654E-2</v>
      </c>
      <c r="H27" s="3">
        <f t="shared" ca="1" si="0"/>
        <v>-4.0801961212650797E-2</v>
      </c>
      <c r="I27" s="3">
        <f t="shared" ca="1" si="0"/>
        <v>-5.4498223151011119E-2</v>
      </c>
      <c r="K27" s="3">
        <f t="shared" ca="1" si="1"/>
        <v>0.12208190057014766</v>
      </c>
      <c r="L27" s="3">
        <f t="shared" ca="1" si="2"/>
        <v>1.3696261938360321E-2</v>
      </c>
    </row>
    <row r="28" spans="2:12" x14ac:dyDescent="0.2">
      <c r="B28" vm="75">
        <f ca="1"/>
        <v>44805</v>
      </c>
      <c r="C28" vm="632">
        <f ca="1"/>
        <v>79.358900000000006</v>
      </c>
      <c r="D28" vm="77">
        <f ca="1"/>
        <v>357.18</v>
      </c>
      <c r="E28" vm="78">
        <f ca="1"/>
        <v>91.203100000000006</v>
      </c>
      <c r="G28" s="3">
        <f t="shared" ca="1" si="0"/>
        <v>-0.16161792235561581</v>
      </c>
      <c r="H28" s="3">
        <f t="shared" ca="1" si="0"/>
        <v>-9.615871248544966E-2</v>
      </c>
      <c r="I28" s="3">
        <f t="shared" ca="1" si="0"/>
        <v>-5.2281720465862394E-2</v>
      </c>
      <c r="K28" s="3">
        <f t="shared" ca="1" si="1"/>
        <v>-0.10933620188975342</v>
      </c>
      <c r="L28" s="3">
        <f t="shared" ca="1" si="2"/>
        <v>-4.3876992019587266E-2</v>
      </c>
    </row>
    <row r="29" spans="2:12" x14ac:dyDescent="0.2">
      <c r="B29" vm="79">
        <f ca="1"/>
        <v>44835</v>
      </c>
      <c r="C29" vm="633">
        <f ca="1"/>
        <v>63.078400000000002</v>
      </c>
      <c r="D29" vm="81">
        <f ca="1"/>
        <v>386.21</v>
      </c>
      <c r="E29" vm="82">
        <f ca="1"/>
        <v>89.531300000000002</v>
      </c>
      <c r="G29" s="3">
        <f t="shared" ca="1" si="0"/>
        <v>-0.20515027300025582</v>
      </c>
      <c r="H29" s="3">
        <f t="shared" ca="1" si="0"/>
        <v>8.1275547343076238E-2</v>
      </c>
      <c r="I29" s="3">
        <f t="shared" ca="1" si="0"/>
        <v>-1.8330517274083934E-2</v>
      </c>
      <c r="K29" s="3">
        <f t="shared" ca="1" si="1"/>
        <v>-0.18681975572617188</v>
      </c>
      <c r="L29" s="3">
        <f t="shared" ca="1" si="2"/>
        <v>9.9606064617160178E-2</v>
      </c>
    </row>
    <row r="30" spans="2:12" x14ac:dyDescent="0.2">
      <c r="B30" vm="83">
        <f ca="1"/>
        <v>44866</v>
      </c>
      <c r="C30" vm="634">
        <f ca="1"/>
        <v>86.869200000000006</v>
      </c>
      <c r="D30" vm="85">
        <f ca="1"/>
        <v>407.68</v>
      </c>
      <c r="E30" vm="86">
        <f ca="1"/>
        <v>103.1875</v>
      </c>
      <c r="G30" s="3">
        <f t="shared" ca="1" si="0"/>
        <v>0.37716238839285721</v>
      </c>
      <c r="H30" s="3">
        <f t="shared" ca="1" si="0"/>
        <v>5.5591517568162475E-2</v>
      </c>
      <c r="I30" s="3">
        <f t="shared" ca="1" si="0"/>
        <v>0.15252989736550232</v>
      </c>
      <c r="K30" s="3">
        <f t="shared" ca="1" si="1"/>
        <v>0.22463249102735489</v>
      </c>
      <c r="L30" s="3">
        <f t="shared" ca="1" si="2"/>
        <v>-9.6938379797339852E-2</v>
      </c>
    </row>
    <row r="31" spans="2:12" x14ac:dyDescent="0.2">
      <c r="B31" vm="87">
        <f ca="1"/>
        <v>44896</v>
      </c>
      <c r="C31" vm="635">
        <f ca="1"/>
        <v>87.394999999999996</v>
      </c>
      <c r="D31" vm="89">
        <f ca="1"/>
        <v>382.43</v>
      </c>
      <c r="E31" vm="90">
        <f ca="1"/>
        <v>102</v>
      </c>
      <c r="G31" s="3">
        <f t="shared" ca="1" si="0"/>
        <v>6.0527781998681879E-3</v>
      </c>
      <c r="H31" s="3">
        <f t="shared" ca="1" si="0"/>
        <v>-6.1935832025117737E-2</v>
      </c>
      <c r="I31" s="3">
        <f t="shared" ca="1" si="0"/>
        <v>-1.1508176862507571E-2</v>
      </c>
      <c r="K31" s="3">
        <f t="shared" ca="1" si="1"/>
        <v>1.756095506237576E-2</v>
      </c>
      <c r="L31" s="3">
        <f t="shared" ca="1" si="2"/>
        <v>-5.0427655162610163E-2</v>
      </c>
    </row>
    <row r="32" spans="2:12" x14ac:dyDescent="0.2">
      <c r="B32" vm="91">
        <f ca="1"/>
        <v>44927</v>
      </c>
      <c r="C32" vm="636">
        <f ca="1"/>
        <v>109.3305</v>
      </c>
      <c r="D32" vm="93">
        <f ca="1"/>
        <v>406.48</v>
      </c>
      <c r="E32" vm="94">
        <f ca="1"/>
        <v>104.8438</v>
      </c>
      <c r="G32" s="3">
        <f t="shared" ca="1" si="0"/>
        <v>0.25099261971508674</v>
      </c>
      <c r="H32" s="3">
        <f t="shared" ca="1" si="0"/>
        <v>6.2887325785111026E-2</v>
      </c>
      <c r="I32" s="3">
        <f t="shared" ca="1" si="0"/>
        <v>2.7880392156862763E-2</v>
      </c>
      <c r="K32" s="3">
        <f t="shared" ca="1" si="1"/>
        <v>0.22311222755822396</v>
      </c>
      <c r="L32" s="3">
        <f t="shared" ca="1" si="2"/>
        <v>3.5006933628248263E-2</v>
      </c>
    </row>
    <row r="33" spans="2:12" x14ac:dyDescent="0.2">
      <c r="B33" vm="95">
        <f ca="1"/>
        <v>44958</v>
      </c>
      <c r="C33" vm="637">
        <f ca="1"/>
        <v>87.097300000000004</v>
      </c>
      <c r="D33" vm="97">
        <f ca="1"/>
        <v>396.26</v>
      </c>
      <c r="E33" vm="98">
        <f ca="1"/>
        <v>96.531300000000002</v>
      </c>
      <c r="G33" s="3">
        <f t="shared" ca="1" si="0"/>
        <v>-0.20335770896501887</v>
      </c>
      <c r="H33" s="3">
        <f t="shared" ca="1" si="0"/>
        <v>-2.5142688447156138E-2</v>
      </c>
      <c r="I33" s="3">
        <f t="shared" ca="1" si="0"/>
        <v>-7.9284611965609791E-2</v>
      </c>
      <c r="K33" s="3">
        <f t="shared" ca="1" si="1"/>
        <v>-0.12407309699940908</v>
      </c>
      <c r="L33" s="3">
        <f t="shared" ca="1" si="2"/>
        <v>5.414192351845365E-2</v>
      </c>
    </row>
    <row r="34" spans="2:12" x14ac:dyDescent="0.2">
      <c r="B34" vm="99">
        <f ca="1"/>
        <v>44986</v>
      </c>
      <c r="C34" vm="638">
        <f ca="1"/>
        <v>101.3738</v>
      </c>
      <c r="D34" vm="101">
        <f ca="1"/>
        <v>409.39</v>
      </c>
      <c r="E34" vm="102">
        <f ca="1"/>
        <v>100.2188</v>
      </c>
      <c r="G34" s="3">
        <f t="shared" ca="1" si="0"/>
        <v>0.16391438081318246</v>
      </c>
      <c r="H34" s="3">
        <f t="shared" ca="1" si="0"/>
        <v>3.3134810477968998E-2</v>
      </c>
      <c r="I34" s="3">
        <f t="shared" ca="1" si="0"/>
        <v>3.8200044959510543E-2</v>
      </c>
      <c r="K34" s="3">
        <f t="shared" ca="1" si="1"/>
        <v>0.12571433585367192</v>
      </c>
      <c r="L34" s="3">
        <f t="shared" ca="1" si="2"/>
        <v>-5.0652344815415445E-3</v>
      </c>
    </row>
    <row r="35" spans="2:12" x14ac:dyDescent="0.2">
      <c r="B35" vm="103">
        <f ca="1"/>
        <v>45017</v>
      </c>
      <c r="C35" vm="639">
        <f ca="1"/>
        <v>84.021799999999999</v>
      </c>
      <c r="D35" vm="105">
        <f ca="1"/>
        <v>415.93</v>
      </c>
      <c r="E35" vm="106">
        <f ca="1"/>
        <v>100.42189999999999</v>
      </c>
      <c r="G35" s="3">
        <f t="shared" ca="1" si="0"/>
        <v>-0.17116848732118164</v>
      </c>
      <c r="H35" s="3">
        <f t="shared" ca="1" si="0"/>
        <v>1.5974987176042454E-2</v>
      </c>
      <c r="I35" s="3">
        <f t="shared" ca="1" si="0"/>
        <v>2.0265658738678975E-3</v>
      </c>
      <c r="K35" s="3">
        <f t="shared" ca="1" si="1"/>
        <v>-0.17319505319504955</v>
      </c>
      <c r="L35" s="3">
        <f t="shared" ca="1" si="2"/>
        <v>1.3948421302174557E-2</v>
      </c>
    </row>
    <row r="36" spans="2:12" x14ac:dyDescent="0.2">
      <c r="B36" vm="107">
        <f ca="1"/>
        <v>45047</v>
      </c>
      <c r="C36" vm="640">
        <f ca="1"/>
        <v>78.922399999999996</v>
      </c>
      <c r="D36" vm="109">
        <f ca="1"/>
        <v>417.85</v>
      </c>
      <c r="E36" vm="110">
        <f ca="1"/>
        <v>97.8125</v>
      </c>
      <c r="G36" s="3">
        <f t="shared" ca="1" si="0"/>
        <v>-6.0691391995886815E-2</v>
      </c>
      <c r="H36" s="3">
        <f t="shared" ca="1" si="0"/>
        <v>4.6161613733080465E-3</v>
      </c>
      <c r="I36" s="3">
        <f t="shared" ca="1" si="0"/>
        <v>-2.5984371934806988E-2</v>
      </c>
      <c r="K36" s="3">
        <f t="shared" ca="1" si="1"/>
        <v>-3.4707020061079827E-2</v>
      </c>
      <c r="L36" s="3">
        <f t="shared" ca="1" si="2"/>
        <v>3.0600533308115033E-2</v>
      </c>
    </row>
    <row r="37" spans="2:12" x14ac:dyDescent="0.2">
      <c r="B37" vm="111">
        <f ca="1"/>
        <v>45078</v>
      </c>
      <c r="C37" vm="641">
        <f ca="1"/>
        <v>82.692400000000006</v>
      </c>
      <c r="D37" vm="113">
        <f ca="1"/>
        <v>443.28</v>
      </c>
      <c r="E37" vm="114">
        <f ca="1"/>
        <v>96.203100000000006</v>
      </c>
      <c r="G37" s="3">
        <f t="shared" ca="1" si="0"/>
        <v>4.7768440898908429E-2</v>
      </c>
      <c r="H37" s="3">
        <f t="shared" ca="1" si="0"/>
        <v>6.0859159985640655E-2</v>
      </c>
      <c r="I37" s="3">
        <f t="shared" ca="1" si="0"/>
        <v>-1.645392971246E-2</v>
      </c>
      <c r="K37" s="3">
        <f t="shared" ca="1" si="1"/>
        <v>6.4222370611368429E-2</v>
      </c>
      <c r="L37" s="3">
        <f t="shared" ca="1" si="2"/>
        <v>7.7313089698100662E-2</v>
      </c>
    </row>
    <row r="38" spans="2:12" x14ac:dyDescent="0.2">
      <c r="B38" vm="115">
        <f ca="1"/>
        <v>45108</v>
      </c>
      <c r="C38" vm="642">
        <f ca="1"/>
        <v>101.354</v>
      </c>
      <c r="D38" vm="117">
        <f ca="1"/>
        <v>457.79</v>
      </c>
      <c r="E38" vm="118">
        <f ca="1"/>
        <v>95.25</v>
      </c>
      <c r="G38" s="3">
        <f t="shared" ca="1" si="0"/>
        <v>0.22567491087451799</v>
      </c>
      <c r="H38" s="3">
        <f t="shared" ca="1" si="0"/>
        <v>3.273326114419791E-2</v>
      </c>
      <c r="I38" s="3">
        <f t="shared" ca="1" si="0"/>
        <v>-9.9071651537217219E-3</v>
      </c>
      <c r="K38" s="3">
        <f t="shared" ca="1" si="1"/>
        <v>0.23558207602823972</v>
      </c>
      <c r="L38" s="3">
        <f t="shared" ca="1" si="2"/>
        <v>4.2640426297919629E-2</v>
      </c>
    </row>
    <row r="39" spans="2:12" x14ac:dyDescent="0.2">
      <c r="B39" vm="119">
        <f ca="1"/>
        <v>45139</v>
      </c>
      <c r="C39" vm="643">
        <f ca="1"/>
        <v>92.167000000000002</v>
      </c>
      <c r="D39" vm="121">
        <f ca="1"/>
        <v>450.35</v>
      </c>
      <c r="E39" vm="122">
        <f ca="1"/>
        <v>98.0625</v>
      </c>
      <c r="G39" s="3">
        <f t="shared" ca="1" si="0"/>
        <v>-9.0642697870828959E-2</v>
      </c>
      <c r="H39" s="3">
        <f t="shared" ca="1" si="0"/>
        <v>-1.6251993272024284E-2</v>
      </c>
      <c r="I39" s="3">
        <f t="shared" ca="1" si="0"/>
        <v>2.952755905511811E-2</v>
      </c>
      <c r="K39" s="3">
        <f t="shared" ca="1" si="1"/>
        <v>-0.12017025692594707</v>
      </c>
      <c r="L39" s="3">
        <f t="shared" ca="1" si="2"/>
        <v>-4.5779552327142398E-2</v>
      </c>
    </row>
    <row r="40" spans="2:12" x14ac:dyDescent="0.2">
      <c r="B40" vm="123">
        <f ca="1"/>
        <v>45170</v>
      </c>
      <c r="C40" vm="644">
        <f ca="1"/>
        <v>86.055599999999998</v>
      </c>
      <c r="D40" vm="125">
        <f ca="1"/>
        <v>427.48</v>
      </c>
      <c r="E40" vm="126">
        <f ca="1"/>
        <v>94.453100000000006</v>
      </c>
      <c r="G40" s="3">
        <f t="shared" ca="1" si="0"/>
        <v>-6.6307897620623474E-2</v>
      </c>
      <c r="H40" s="3">
        <f t="shared" ca="1" si="0"/>
        <v>-5.0782724547574119E-2</v>
      </c>
      <c r="I40" s="3">
        <f t="shared" ca="1" si="0"/>
        <v>-3.6807138304652584E-2</v>
      </c>
      <c r="K40" s="3">
        <f t="shared" ca="1" si="1"/>
        <v>-2.950075931597089E-2</v>
      </c>
      <c r="L40" s="3">
        <f t="shared" ca="1" si="2"/>
        <v>-1.3975586242921535E-2</v>
      </c>
    </row>
    <row r="41" spans="2:12" x14ac:dyDescent="0.2">
      <c r="B41" vm="127">
        <f ca="1"/>
        <v>45200</v>
      </c>
      <c r="C41" vm="645">
        <f ca="1"/>
        <v>81.888800000000003</v>
      </c>
      <c r="D41" vm="129">
        <f ca="1"/>
        <v>418.2</v>
      </c>
      <c r="E41" vm="130">
        <f ca="1"/>
        <v>91.890600000000006</v>
      </c>
      <c r="G41" s="3">
        <f t="shared" ca="1" si="0"/>
        <v>-4.8419858788968935E-2</v>
      </c>
      <c r="H41" s="3">
        <f t="shared" ca="1" si="0"/>
        <v>-2.1708617947038527E-2</v>
      </c>
      <c r="I41" s="3">
        <f t="shared" ca="1" si="0"/>
        <v>-2.7129866568699174E-2</v>
      </c>
      <c r="K41" s="3">
        <f t="shared" ca="1" si="1"/>
        <v>-2.1289992220269761E-2</v>
      </c>
      <c r="L41" s="3">
        <f t="shared" ca="1" si="2"/>
        <v>5.4212486216606466E-3</v>
      </c>
    </row>
    <row r="42" spans="2:12" x14ac:dyDescent="0.2">
      <c r="B42" vm="131">
        <f ca="1"/>
        <v>45231</v>
      </c>
      <c r="C42" vm="646">
        <f ca="1"/>
        <v>74.289199999999994</v>
      </c>
      <c r="D42" vm="133">
        <f ca="1"/>
        <v>456.4</v>
      </c>
      <c r="E42" vm="134">
        <f ca="1"/>
        <v>102.01560000000001</v>
      </c>
      <c r="G42" s="3">
        <f t="shared" ca="1" si="0"/>
        <v>-9.2803899922822286E-2</v>
      </c>
      <c r="H42" s="3">
        <f t="shared" ca="1" si="0"/>
        <v>9.134385461501672E-2</v>
      </c>
      <c r="I42" s="3">
        <f t="shared" ca="1" si="0"/>
        <v>0.11018537260612075</v>
      </c>
      <c r="K42" s="3">
        <f t="shared" ca="1" si="1"/>
        <v>-0.20298927252894305</v>
      </c>
      <c r="L42" s="3">
        <f t="shared" ca="1" si="2"/>
        <v>-1.8841517991104034E-2</v>
      </c>
    </row>
    <row r="43" spans="2:12" x14ac:dyDescent="0.2">
      <c r="B43" vm="135">
        <f ca="1"/>
        <v>45261</v>
      </c>
      <c r="C43" vm="647">
        <f ca="1"/>
        <v>76.898399999999995</v>
      </c>
      <c r="D43" vm="137">
        <f ca="1"/>
        <v>475.31</v>
      </c>
      <c r="E43" vm="138">
        <f ca="1"/>
        <v>105.1563</v>
      </c>
      <c r="G43" s="3">
        <f t="shared" ca="1" si="0"/>
        <v>3.5122198112242445E-2</v>
      </c>
      <c r="H43" s="3">
        <f t="shared" ca="1" si="0"/>
        <v>4.1432953549518023E-2</v>
      </c>
      <c r="I43" s="3">
        <f t="shared" ca="1" si="0"/>
        <v>3.0786467951960241E-2</v>
      </c>
      <c r="K43" s="3">
        <f t="shared" ca="1" si="1"/>
        <v>4.3357301602822036E-3</v>
      </c>
      <c r="L43" s="3">
        <f t="shared" ca="1" si="2"/>
        <v>1.0646485597557782E-2</v>
      </c>
    </row>
    <row r="44" spans="2:12" x14ac:dyDescent="0.2">
      <c r="B44" vm="139">
        <f ca="1"/>
        <v>45292</v>
      </c>
      <c r="C44" vm="648">
        <f ca="1"/>
        <v>71.6006</v>
      </c>
      <c r="D44" vm="141">
        <f ca="1"/>
        <v>482.88</v>
      </c>
      <c r="E44" vm="142">
        <f ca="1"/>
        <v>103.6875</v>
      </c>
      <c r="G44" s="3">
        <f t="shared" ca="1" si="0"/>
        <v>-6.8893501035132018E-2</v>
      </c>
      <c r="H44" s="3">
        <f t="shared" ca="1" si="0"/>
        <v>1.5926448002356344E-2</v>
      </c>
      <c r="I44" s="3">
        <f t="shared" ca="1" si="0"/>
        <v>-1.3967779391249041E-2</v>
      </c>
      <c r="K44" s="3">
        <f t="shared" ca="1" si="1"/>
        <v>-5.4925721643882978E-2</v>
      </c>
      <c r="L44" s="3">
        <f t="shared" ca="1" si="2"/>
        <v>2.9894227393605387E-2</v>
      </c>
    </row>
    <row r="45" spans="2:12" x14ac:dyDescent="0.2">
      <c r="B45" vm="143">
        <f ca="1"/>
        <v>45323</v>
      </c>
      <c r="C45" vm="649">
        <f ca="1"/>
        <v>73.445899999999995</v>
      </c>
      <c r="D45" vm="145">
        <f ca="1"/>
        <v>508.08</v>
      </c>
      <c r="E45" vm="146">
        <f ca="1"/>
        <v>97.875</v>
      </c>
      <c r="G45" s="3">
        <f t="shared" ca="1" si="0"/>
        <v>2.5772130401141815E-2</v>
      </c>
      <c r="H45" s="3">
        <f t="shared" ca="1" si="0"/>
        <v>5.2186878727634174E-2</v>
      </c>
      <c r="I45" s="3">
        <f t="shared" ca="1" si="0"/>
        <v>-5.6057866184448461E-2</v>
      </c>
      <c r="K45" s="3">
        <f t="shared" ca="1" si="1"/>
        <v>8.1829996585590273E-2</v>
      </c>
      <c r="L45" s="3">
        <f t="shared" ca="1" si="2"/>
        <v>0.10824474491208264</v>
      </c>
    </row>
    <row r="46" spans="2:12" x14ac:dyDescent="0.2">
      <c r="B46" vm="147">
        <f ca="1"/>
        <v>45352</v>
      </c>
      <c r="C46" vm="650">
        <f ca="1"/>
        <v>71.789100000000005</v>
      </c>
      <c r="D46" vm="149">
        <f ca="1"/>
        <v>523.07000000000005</v>
      </c>
      <c r="E46" vm="150">
        <f ca="1"/>
        <v>98.468800000000002</v>
      </c>
      <c r="G46" s="3">
        <f t="shared" ca="1" si="0"/>
        <v>-2.2558100588324057E-2</v>
      </c>
      <c r="H46" s="3">
        <f t="shared" ca="1" si="0"/>
        <v>2.9503227838135856E-2</v>
      </c>
      <c r="I46" s="3">
        <f t="shared" ca="1" si="0"/>
        <v>6.0669220945083185E-3</v>
      </c>
      <c r="K46" s="3">
        <f t="shared" ca="1" si="1"/>
        <v>-2.8625022682832374E-2</v>
      </c>
      <c r="L46" s="3">
        <f t="shared" ca="1" si="2"/>
        <v>2.3436305743627539E-2</v>
      </c>
    </row>
    <row r="47" spans="2:12" x14ac:dyDescent="0.2">
      <c r="B47" vm="151">
        <f ca="1"/>
        <v>45383</v>
      </c>
      <c r="C47" vm="651">
        <f ca="1"/>
        <v>74.259399999999999</v>
      </c>
      <c r="D47" vm="153">
        <f ca="1"/>
        <v>501.98</v>
      </c>
      <c r="E47" vm="154">
        <f ca="1"/>
        <v>94.6875</v>
      </c>
      <c r="G47" s="3">
        <f t="shared" ca="1" si="0"/>
        <v>3.4410516359725841E-2</v>
      </c>
      <c r="H47" s="3">
        <f t="shared" ca="1" si="0"/>
        <v>-4.031965128950242E-2</v>
      </c>
      <c r="I47" s="3">
        <f t="shared" ca="1" si="0"/>
        <v>-3.8400996051541215E-2</v>
      </c>
      <c r="K47" s="3">
        <f t="shared" ca="1" si="1"/>
        <v>7.2811512411267057E-2</v>
      </c>
      <c r="L47" s="3">
        <f t="shared" ca="1" si="2"/>
        <v>-1.9186552379612046E-3</v>
      </c>
    </row>
    <row r="48" spans="2:12" x14ac:dyDescent="0.2">
      <c r="B48" vm="155">
        <f ca="1"/>
        <v>45413</v>
      </c>
      <c r="C48" vm="652">
        <f ca="1"/>
        <v>77.721900000000005</v>
      </c>
      <c r="D48" vm="157">
        <f ca="1"/>
        <v>527.37</v>
      </c>
      <c r="E48" vm="158">
        <f ca="1"/>
        <v>98.984399999999994</v>
      </c>
      <c r="G48" s="3">
        <f t="shared" ca="1" si="0"/>
        <v>4.6627093674336255E-2</v>
      </c>
      <c r="H48" s="3">
        <f t="shared" ca="1" si="0"/>
        <v>5.0579704370692029E-2</v>
      </c>
      <c r="I48" s="3">
        <f t="shared" ca="1" si="0"/>
        <v>4.5379801980197955E-2</v>
      </c>
      <c r="K48" s="3">
        <f t="shared" ca="1" si="1"/>
        <v>1.2472916941383E-3</v>
      </c>
      <c r="L48" s="3">
        <f t="shared" ca="1" si="2"/>
        <v>5.1999023904940739E-3</v>
      </c>
    </row>
    <row r="49" spans="2:12" x14ac:dyDescent="0.2">
      <c r="B49" vm="159">
        <f ca="1"/>
        <v>45444</v>
      </c>
      <c r="C49" vm="653">
        <f ca="1"/>
        <v>71.431899999999999</v>
      </c>
      <c r="D49" vm="161">
        <f ca="1"/>
        <v>544.22</v>
      </c>
      <c r="E49" vm="162">
        <f ca="1"/>
        <v>99.671899999999994</v>
      </c>
      <c r="G49" s="3">
        <f t="shared" ca="1" si="0"/>
        <v>-8.0929570687283833E-2</v>
      </c>
      <c r="H49" s="3">
        <f t="shared" ca="1" si="0"/>
        <v>3.1951002142708199E-2</v>
      </c>
      <c r="I49" s="3">
        <f t="shared" ca="1" si="0"/>
        <v>6.9455388929972805E-3</v>
      </c>
      <c r="K49" s="3">
        <f t="shared" ca="1" si="1"/>
        <v>-8.7875109580281108E-2</v>
      </c>
      <c r="L49" s="3">
        <f t="shared" ca="1" si="2"/>
        <v>2.5005463249710917E-2</v>
      </c>
    </row>
    <row r="50" spans="2:12" x14ac:dyDescent="0.2">
      <c r="B50" vm="163">
        <f ca="1"/>
        <v>45474</v>
      </c>
      <c r="C50" vm="654">
        <f ca="1"/>
        <v>78.227900000000005</v>
      </c>
      <c r="D50" vm="165">
        <f ca="1"/>
        <v>550.80999999999995</v>
      </c>
      <c r="E50" vm="166">
        <f ca="1"/>
        <v>102.5313</v>
      </c>
      <c r="G50" s="3">
        <f t="shared" ca="1" si="0"/>
        <v>9.5139566496201367E-2</v>
      </c>
      <c r="H50" s="3">
        <f t="shared" ca="1" si="0"/>
        <v>1.210907353643732E-2</v>
      </c>
      <c r="I50" s="3">
        <f t="shared" ca="1" si="0"/>
        <v>2.8688125740554841E-2</v>
      </c>
      <c r="K50" s="3">
        <f t="shared" ca="1" si="1"/>
        <v>6.6451440755646518E-2</v>
      </c>
      <c r="L50" s="3">
        <f t="shared" ca="1" si="2"/>
        <v>-1.6579052204117522E-2</v>
      </c>
    </row>
    <row r="51" spans="2:12" x14ac:dyDescent="0.2">
      <c r="B51" vm="167">
        <f ca="1"/>
        <v>45505</v>
      </c>
      <c r="C51" vm="655">
        <f ca="1"/>
        <v>82.682400000000001</v>
      </c>
      <c r="D51" vm="169">
        <f ca="1"/>
        <v>563.67999999999995</v>
      </c>
      <c r="E51" vm="170">
        <f ca="1"/>
        <v>99.718800000000002</v>
      </c>
      <c r="G51" s="3">
        <f t="shared" ca="1" si="0"/>
        <v>5.6942599763000104E-2</v>
      </c>
      <c r="H51" s="3">
        <f t="shared" ca="1" si="0"/>
        <v>2.3365588860042495E-2</v>
      </c>
      <c r="I51" s="3">
        <f t="shared" ca="1" si="0"/>
        <v>-2.7430648006998837E-2</v>
      </c>
      <c r="K51" s="3">
        <f t="shared" ca="1" si="1"/>
        <v>8.4373247769998938E-2</v>
      </c>
      <c r="L51" s="3">
        <f t="shared" ca="1" si="2"/>
        <v>5.0796236867041336E-2</v>
      </c>
    </row>
    <row r="52" spans="2:12" x14ac:dyDescent="0.2">
      <c r="B52" vm="171">
        <f ca="1"/>
        <v>45536</v>
      </c>
      <c r="C52" vm="656">
        <f ca="1"/>
        <v>105.28270000000001</v>
      </c>
      <c r="D52" vm="173">
        <f ca="1"/>
        <v>573.76</v>
      </c>
      <c r="E52" vm="174">
        <f ca="1"/>
        <v>100.79689999999999</v>
      </c>
      <c r="G52" s="3">
        <f t="shared" ca="1" si="0"/>
        <v>0.27333870327905341</v>
      </c>
      <c r="H52" s="3">
        <f t="shared" ca="1" si="0"/>
        <v>1.7882486517172939E-2</v>
      </c>
      <c r="I52" s="3">
        <f t="shared" ca="1" si="0"/>
        <v>1.081140166147198E-2</v>
      </c>
      <c r="K52" s="3">
        <f t="shared" ca="1" si="1"/>
        <v>0.26252730161758142</v>
      </c>
      <c r="L52" s="3">
        <f t="shared" ca="1" si="2"/>
        <v>7.0710848557009598E-3</v>
      </c>
    </row>
    <row r="53" spans="2:12" x14ac:dyDescent="0.2">
      <c r="B53" vm="175">
        <f ca="1"/>
        <v>45566</v>
      </c>
      <c r="C53" vm="657">
        <f ca="1"/>
        <v>97.206900000000005</v>
      </c>
      <c r="D53" vm="177">
        <f ca="1"/>
        <v>568.64</v>
      </c>
      <c r="E53" vm="178">
        <f ca="1"/>
        <v>96.718800000000002</v>
      </c>
      <c r="G53" s="3">
        <f t="shared" ca="1" si="0"/>
        <v>-7.6705859557173212E-2</v>
      </c>
      <c r="H53" s="3">
        <f t="shared" ca="1" si="0"/>
        <v>-8.9235917456776427E-3</v>
      </c>
      <c r="I53" s="3">
        <f t="shared" ca="1" si="0"/>
        <v>-4.0458585531896241E-2</v>
      </c>
      <c r="K53" s="3">
        <f t="shared" ca="1" si="1"/>
        <v>-3.6247274025276971E-2</v>
      </c>
      <c r="L53" s="3">
        <f t="shared" ca="1" si="2"/>
        <v>3.1534993786218601E-2</v>
      </c>
    </row>
    <row r="54" spans="2:12" x14ac:dyDescent="0.2">
      <c r="B54" vm="179">
        <f ca="1"/>
        <v>45597</v>
      </c>
      <c r="C54" vm="658">
        <f ca="1"/>
        <v>86.680700000000002</v>
      </c>
      <c r="D54" vm="181">
        <f ca="1"/>
        <v>602.54999999999995</v>
      </c>
      <c r="E54" vm="182">
        <f ca="1"/>
        <v>100.57810000000001</v>
      </c>
      <c r="G54" s="3">
        <f t="shared" ca="1" si="0"/>
        <v>-0.10828655167482969</v>
      </c>
      <c r="H54" s="3">
        <f t="shared" ca="1" si="0"/>
        <v>5.9633511536297076E-2</v>
      </c>
      <c r="I54" s="3">
        <f t="shared" ca="1" si="0"/>
        <v>3.990227339462446E-2</v>
      </c>
      <c r="K54" s="3">
        <f t="shared" ca="1" si="1"/>
        <v>-0.14818882506945413</v>
      </c>
      <c r="L54" s="3">
        <f t="shared" ca="1" si="2"/>
        <v>1.9731238141672616E-2</v>
      </c>
    </row>
    <row r="55" spans="2:12" x14ac:dyDescent="0.2">
      <c r="B55" vm="183">
        <f ca="1"/>
        <v>45627</v>
      </c>
      <c r="C55" vm="659">
        <f ca="1"/>
        <v>84.120999999999995</v>
      </c>
      <c r="D55" vm="185">
        <f ca="1"/>
        <v>586.08000000000004</v>
      </c>
      <c r="E55" vm="186">
        <f ca="1"/>
        <v>97.453100000000006</v>
      </c>
      <c r="G55" s="3">
        <f t="shared" ca="1" si="0"/>
        <v>-2.9530218376178394E-2</v>
      </c>
      <c r="H55" s="3">
        <f t="shared" ca="1" si="0"/>
        <v>-2.7333831217326222E-2</v>
      </c>
      <c r="I55" s="3">
        <f t="shared" ca="1" si="0"/>
        <v>-3.1070382120958737E-2</v>
      </c>
      <c r="K55" s="3">
        <f t="shared" ca="1" si="1"/>
        <v>1.5401637447803422E-3</v>
      </c>
      <c r="L55" s="3">
        <f t="shared" ca="1" si="2"/>
        <v>3.7365509036325142E-3</v>
      </c>
    </row>
    <row r="56" spans="2:12" x14ac:dyDescent="0.2">
      <c r="B56" vm="187">
        <f ca="1"/>
        <v>45658</v>
      </c>
      <c r="C56" vm="660">
        <f ca="1"/>
        <v>98.060199999999995</v>
      </c>
      <c r="D56" vm="189">
        <f ca="1"/>
        <v>601.82000000000005</v>
      </c>
      <c r="E56" vm="30">
        <f ca="1"/>
        <v>97.703100000000006</v>
      </c>
      <c r="G56" s="3">
        <f t="shared" ca="1" si="0"/>
        <v>0.16570416423960724</v>
      </c>
      <c r="H56" s="3">
        <f t="shared" ca="1" si="0"/>
        <v>2.6856401856401872E-2</v>
      </c>
      <c r="I56" s="3">
        <f t="shared" ca="1" si="0"/>
        <v>2.5653365567642281E-3</v>
      </c>
      <c r="K56" s="3">
        <f t="shared" ca="1" si="1"/>
        <v>0.16313882768284302</v>
      </c>
      <c r="L56" s="3">
        <f t="shared" ca="1" si="2"/>
        <v>2.4291065299637642E-2</v>
      </c>
    </row>
    <row r="57" spans="2:12" x14ac:dyDescent="0.2">
      <c r="B57" vm="190">
        <f ca="1"/>
        <v>45689</v>
      </c>
      <c r="C57" vm="661">
        <f ca="1"/>
        <v>131.46449999999999</v>
      </c>
      <c r="D57" vm="192">
        <f ca="1"/>
        <v>594.17999999999995</v>
      </c>
      <c r="E57" vm="193">
        <f ca="1"/>
        <v>103.4063</v>
      </c>
      <c r="G57" s="3">
        <f t="shared" ca="1" si="0"/>
        <v>0.34065094707128879</v>
      </c>
      <c r="H57" s="3">
        <f t="shared" ca="1" si="0"/>
        <v>-1.2694825695390814E-2</v>
      </c>
      <c r="I57" s="3">
        <f t="shared" ca="1" si="0"/>
        <v>5.8372764016699524E-2</v>
      </c>
      <c r="K57" s="3">
        <f t="shared" ca="1" si="1"/>
        <v>0.28227818305458929</v>
      </c>
      <c r="L57" s="3">
        <f t="shared" ca="1" si="2"/>
        <v>-7.1067589712090345E-2</v>
      </c>
    </row>
    <row r="58" spans="2:12" x14ac:dyDescent="0.2">
      <c r="B58" vm="194">
        <f ca="1"/>
        <v>45717</v>
      </c>
      <c r="C58" vm="662">
        <f ca="1"/>
        <v>131.1867</v>
      </c>
      <c r="D58" vm="195">
        <f ca="1"/>
        <v>559.39</v>
      </c>
      <c r="E58" vm="196">
        <f ca="1"/>
        <v>103.32810000000001</v>
      </c>
      <c r="G58" s="3">
        <f t="shared" ca="1" si="0"/>
        <v>-2.1131179900276118E-3</v>
      </c>
      <c r="H58" s="3">
        <f t="shared" ca="1" si="0"/>
        <v>-5.8551280756673006E-2</v>
      </c>
      <c r="I58" s="3">
        <f t="shared" ca="1" si="0"/>
        <v>-7.5624019039454446E-4</v>
      </c>
      <c r="K58" s="3">
        <f t="shared" ca="1" si="1"/>
        <v>-1.3568777996330675E-3</v>
      </c>
      <c r="L58" s="3">
        <f t="shared" ca="1" si="2"/>
        <v>-5.7795040566278461E-2</v>
      </c>
    </row>
    <row r="59" spans="2:12" x14ac:dyDescent="0.2">
      <c r="B59" vm="197">
        <f ca="1"/>
        <v>45748</v>
      </c>
      <c r="C59" vm="663">
        <f ca="1"/>
        <v>118.4877</v>
      </c>
      <c r="D59" vm="199">
        <f ca="1"/>
        <v>554.54</v>
      </c>
      <c r="E59" vm="200">
        <f ca="1"/>
        <v>103.5313</v>
      </c>
      <c r="G59" s="3">
        <f t="shared" ca="1" si="0"/>
        <v>-9.6800971439940167E-2</v>
      </c>
      <c r="H59" s="3">
        <f t="shared" ca="1" si="0"/>
        <v>-8.6701585655804044E-3</v>
      </c>
      <c r="I59" s="3">
        <f t="shared" ca="1" si="0"/>
        <v>1.9665512092063571E-3</v>
      </c>
      <c r="K59" s="3">
        <f t="shared" ca="1" si="1"/>
        <v>-9.8767522649146525E-2</v>
      </c>
      <c r="L59" s="3">
        <f t="shared" ca="1" si="2"/>
        <v>-1.0636709774786762E-2</v>
      </c>
    </row>
    <row r="60" spans="2:12" x14ac:dyDescent="0.2">
      <c r="B60" vm="201">
        <f ca="1"/>
        <v>45778</v>
      </c>
      <c r="C60" vm="664">
        <f ca="1"/>
        <v>112.9418</v>
      </c>
      <c r="D60" vm="203">
        <f ca="1"/>
        <v>589.39</v>
      </c>
      <c r="E60" vm="204">
        <f ca="1"/>
        <v>98.8125</v>
      </c>
      <c r="G60" s="3">
        <f t="shared" ca="1" si="0"/>
        <v>-4.6805702195248981E-2</v>
      </c>
      <c r="H60" s="3">
        <f t="shared" ca="1" si="0"/>
        <v>6.284488044144701E-2</v>
      </c>
      <c r="I60" s="3">
        <f t="shared" ca="1" si="0"/>
        <v>-4.5578486892369763E-2</v>
      </c>
      <c r="K60" s="3">
        <f t="shared" ca="1" si="1"/>
        <v>-1.2272153028792185E-3</v>
      </c>
      <c r="L60" s="3">
        <f t="shared" ca="1" si="2"/>
        <v>0.10842336733381677</v>
      </c>
    </row>
    <row r="61" spans="2:12" x14ac:dyDescent="0.2">
      <c r="B61" vm="205">
        <f ca="1"/>
        <v>45809</v>
      </c>
      <c r="C61" vm="665">
        <f ca="1"/>
        <v>113.41</v>
      </c>
      <c r="D61" vm="207">
        <f ca="1"/>
        <v>617.85</v>
      </c>
      <c r="E61" vm="15">
        <f ca="1"/>
        <v>100.14060000000001</v>
      </c>
      <c r="G61" s="3">
        <f t="shared" ca="1" si="0"/>
        <v>4.14549794673005E-3</v>
      </c>
      <c r="H61" s="3">
        <f t="shared" ca="1" si="0"/>
        <v>4.828721220244666E-2</v>
      </c>
      <c r="I61" s="3">
        <f t="shared" ca="1" si="0"/>
        <v>1.3440607210626249E-2</v>
      </c>
      <c r="K61" s="3">
        <f t="shared" ca="1" si="1"/>
        <v>-9.2951092638961993E-3</v>
      </c>
      <c r="L61" s="3">
        <f t="shared" ca="1" si="2"/>
        <v>3.4846604991820407E-2</v>
      </c>
    </row>
    <row r="62" spans="2:12" x14ac:dyDescent="0.2">
      <c r="B62" vm="208">
        <f ca="1"/>
        <v>45839</v>
      </c>
      <c r="C62" vm="666">
        <f ca="1"/>
        <v>120.63</v>
      </c>
      <c r="D62" vm="210">
        <f ca="1"/>
        <v>632.08000000000004</v>
      </c>
      <c r="E62" vm="211">
        <f ca="1"/>
        <v>98.953100000000006</v>
      </c>
      <c r="G62" s="3">
        <f t="shared" ca="1" si="0"/>
        <v>6.3662816330129615E-2</v>
      </c>
      <c r="H62" s="3">
        <f t="shared" ca="1" si="0"/>
        <v>2.3031480132718326E-2</v>
      </c>
      <c r="I62" s="3">
        <f t="shared" ca="1" si="0"/>
        <v>-1.1858327191968093E-2</v>
      </c>
      <c r="K62" s="3">
        <f t="shared" ca="1" si="1"/>
        <v>7.5521143522097711E-2</v>
      </c>
      <c r="L62" s="3">
        <f t="shared" ca="1" si="2"/>
        <v>3.4889807324686418E-2</v>
      </c>
    </row>
    <row r="63" spans="2:12" x14ac:dyDescent="0.2">
      <c r="B63" vm="212">
        <f ca="1"/>
        <v>45870</v>
      </c>
      <c r="C63" vm="667">
        <f ca="1"/>
        <v>135</v>
      </c>
      <c r="D63" vm="214">
        <f ca="1"/>
        <v>645.04999999999995</v>
      </c>
      <c r="E63" vm="15">
        <f ca="1"/>
        <v>100.14060000000001</v>
      </c>
      <c r="G63" s="3">
        <f t="shared" ca="1" si="0"/>
        <v>0.11912459587167376</v>
      </c>
      <c r="H63" s="3">
        <f t="shared" ca="1" si="0"/>
        <v>2.051955448677369E-2</v>
      </c>
      <c r="I63" s="3">
        <f t="shared" ca="1" si="0"/>
        <v>1.2000634644088966E-2</v>
      </c>
      <c r="K63" s="3">
        <f t="shared" ca="1" si="1"/>
        <v>0.1071239612275848</v>
      </c>
      <c r="L63" s="3">
        <f t="shared" ca="1" si="2"/>
        <v>8.5189198426847239E-3</v>
      </c>
    </row>
    <row r="64" spans="2:12" x14ac:dyDescent="0.2">
      <c r="B64" vm="215">
        <f ca="1"/>
        <v>45901</v>
      </c>
      <c r="C64" vm="668">
        <f ca="1"/>
        <v>178.73</v>
      </c>
      <c r="D64" vm="217">
        <f ca="1"/>
        <v>666.18</v>
      </c>
      <c r="E64" vm="218">
        <f ca="1"/>
        <v>100.75</v>
      </c>
      <c r="G64" s="3">
        <f t="shared" ca="1" si="0"/>
        <v>0.32392592592592584</v>
      </c>
      <c r="H64" s="3">
        <f t="shared" ca="1" si="0"/>
        <v>3.275715060847996E-2</v>
      </c>
      <c r="I64" s="3">
        <f t="shared" ca="1" si="0"/>
        <v>6.085443865924447E-3</v>
      </c>
      <c r="K64" s="3">
        <f t="shared" ca="1" si="1"/>
        <v>0.31784048206000137</v>
      </c>
      <c r="L64" s="3">
        <f t="shared" ca="1" si="2"/>
        <v>2.6671706742555513E-2</v>
      </c>
    </row>
    <row r="65" spans="2:12" x14ac:dyDescent="0.2">
      <c r="B65" vm="219">
        <f ca="1"/>
        <v>45931</v>
      </c>
      <c r="C65" vm="669">
        <f ca="1"/>
        <v>170.43</v>
      </c>
      <c r="D65" vm="221">
        <f ca="1"/>
        <v>682.06</v>
      </c>
      <c r="E65" vm="222">
        <f ca="1"/>
        <v>101.32810000000001</v>
      </c>
      <c r="G65" s="3">
        <f t="shared" ca="1" si="0"/>
        <v>-4.6438762379007348E-2</v>
      </c>
      <c r="H65" s="3">
        <f t="shared" ca="1" si="0"/>
        <v>2.3837401302951148E-2</v>
      </c>
      <c r="I65" s="3">
        <f t="shared" ca="1" si="0"/>
        <v>5.7379652605459679E-3</v>
      </c>
      <c r="K65" s="3">
        <f t="shared" ca="1" si="1"/>
        <v>-5.2176727639553319E-2</v>
      </c>
      <c r="L65" s="3">
        <f t="shared" ca="1" si="2"/>
        <v>1.809943604240518E-2</v>
      </c>
    </row>
    <row r="66" spans="2:12" x14ac:dyDescent="0.2">
      <c r="B66" vm="223">
        <f ca="1"/>
        <v>45962</v>
      </c>
      <c r="C66" vm="670">
        <f ca="1"/>
        <v>157.30000000000001</v>
      </c>
      <c r="D66" vm="225">
        <f ca="1"/>
        <v>683.39</v>
      </c>
      <c r="E66" vm="226">
        <f ca="1"/>
        <v>99.859399999999994</v>
      </c>
      <c r="G66" s="3">
        <f t="shared" ca="1" si="0"/>
        <v>-7.7040427154843605E-2</v>
      </c>
      <c r="H66" s="3">
        <f t="shared" ca="1" si="0"/>
        <v>1.9499750755066138E-3</v>
      </c>
      <c r="I66" s="3">
        <f t="shared" ca="1" si="0"/>
        <v>-1.4494498564564149E-2</v>
      </c>
      <c r="K66" s="3">
        <f t="shared" ca="1" si="1"/>
        <v>-6.2545928590279451E-2</v>
      </c>
      <c r="L66" s="3">
        <f t="shared" ca="1" si="2"/>
        <v>1.6444473640070761E-2</v>
      </c>
    </row>
    <row r="67" spans="2:12" x14ac:dyDescent="0.2">
      <c r="B67" vm="227">
        <f ca="1"/>
        <v>45992</v>
      </c>
      <c r="C67" vm="671">
        <f ca="1"/>
        <v>146.58000000000001</v>
      </c>
      <c r="D67" vm="229">
        <f ca="1"/>
        <v>681.92</v>
      </c>
      <c r="E67" vm="230">
        <f ca="1"/>
        <v>98.6875</v>
      </c>
      <c r="G67" s="3">
        <f t="shared" ca="1" si="0"/>
        <v>-6.8150031786395407E-2</v>
      </c>
      <c r="H67" s="3">
        <f t="shared" ca="1" si="0"/>
        <v>-2.151041133174362E-3</v>
      </c>
      <c r="I67" s="3">
        <f t="shared" ca="1" si="0"/>
        <v>-1.1735500113159039E-2</v>
      </c>
      <c r="K67" s="3">
        <f t="shared" ca="1" si="1"/>
        <v>-5.6414531673236366E-2</v>
      </c>
      <c r="L67" s="3">
        <f t="shared" ca="1" si="2"/>
        <v>9.5844589799846773E-3</v>
      </c>
    </row>
    <row r="68" spans="2:12" x14ac:dyDescent="0.2">
      <c r="B68" vm="231">
        <f ca="1"/>
        <v>46023</v>
      </c>
      <c r="C68" vm="672">
        <f ca="1"/>
        <v>169.56</v>
      </c>
      <c r="D68" vm="233">
        <f ca="1"/>
        <v>691.97</v>
      </c>
      <c r="E68" vm="234">
        <f ca="1"/>
        <v>98.078100000000006</v>
      </c>
      <c r="G68" s="3">
        <f t="shared" ca="1" si="0"/>
        <v>0.1567744576340564</v>
      </c>
      <c r="H68" s="3">
        <f t="shared" ca="1" si="0"/>
        <v>1.4737799155326239E-2</v>
      </c>
      <c r="I68" s="3">
        <f t="shared" ca="1" si="0"/>
        <v>-6.1750474984166555E-3</v>
      </c>
      <c r="K68" s="3">
        <f t="shared" ca="1" si="1"/>
        <v>0.16294950513247305</v>
      </c>
      <c r="L68" s="3">
        <f t="shared" ca="1" si="2"/>
        <v>2.0912846653742895E-2</v>
      </c>
    </row>
    <row r="69" spans="2:12" x14ac:dyDescent="0.2">
      <c r="B69" vm="235">
        <f ca="1"/>
        <v>46054</v>
      </c>
      <c r="C69" vm="673">
        <f ca="1"/>
        <v>144.11000000000001</v>
      </c>
      <c r="D69" vm="237">
        <f ca="1"/>
        <v>685.99</v>
      </c>
      <c r="E69" vm="238">
        <f ca="1"/>
        <v>101.4375</v>
      </c>
      <c r="G69" s="3">
        <f t="shared" ca="1" si="0"/>
        <v>-0.15009436187780129</v>
      </c>
      <c r="H69" s="3">
        <f t="shared" ca="1" si="0"/>
        <v>-8.6419931499920784E-3</v>
      </c>
      <c r="I69" s="3">
        <f t="shared" ca="1" si="0"/>
        <v>3.4252294854814617E-2</v>
      </c>
      <c r="K69" s="3">
        <f t="shared" ca="1" si="1"/>
        <v>-0.18434665673261591</v>
      </c>
      <c r="L69" s="3">
        <f t="shared" ca="1" si="2"/>
        <v>-4.2894288004806699E-2</v>
      </c>
    </row>
    <row r="70" spans="2:12" x14ac:dyDescent="0.2">
      <c r="B70" vm="239">
        <f ca="1"/>
        <v>46082</v>
      </c>
      <c r="C70" vm="674">
        <f ca="1"/>
        <v>135.21</v>
      </c>
      <c r="D70" vm="241">
        <f ca="1"/>
        <v>662.29</v>
      </c>
      <c r="E70" vm="242">
        <f ca="1"/>
        <v>98.734399999999994</v>
      </c>
      <c r="G70" s="3">
        <f t="shared" ca="1" si="0"/>
        <v>-6.1758379016029458E-2</v>
      </c>
      <c r="H70" s="3">
        <f t="shared" ca="1" si="0"/>
        <v>-3.4548608580300073E-2</v>
      </c>
      <c r="I70" s="3">
        <f t="shared" ca="1" si="0"/>
        <v>-2.6647935921133764E-2</v>
      </c>
      <c r="K70" s="3">
        <f t="shared" ca="1" si="1"/>
        <v>-3.5110443094895694E-2</v>
      </c>
      <c r="L70" s="3">
        <f t="shared" ca="1" si="2"/>
        <v>-7.9006726591663093E-3</v>
      </c>
    </row>
  </sheetData>
  <pageMargins left="0.7" right="0.7" top="0.75" bottom="0.75" header="0.3" footer="0.3"/>
  <pageSetup orientation="portrait" horizontalDpi="0" verticalDpi="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78B42-9771-4285-8AC1-782DECBE7614}">
  <dimension ref="B2:L70"/>
  <sheetViews>
    <sheetView workbookViewId="0">
      <selection activeCell="B7" sqref="B7"/>
    </sheetView>
  </sheetViews>
  <sheetFormatPr baseColWidth="10" defaultColWidth="8.83203125" defaultRowHeight="15" x14ac:dyDescent="0.2"/>
  <cols>
    <col min="2" max="2" width="10.83203125" bestFit="1" customWidth="1"/>
    <col min="3" max="3" width="10.83203125" customWidth="1"/>
    <col min="4" max="4" width="12" bestFit="1" customWidth="1"/>
    <col min="5" max="5" width="10.5" bestFit="1" customWidth="1"/>
    <col min="11" max="11" width="10.5" customWidth="1"/>
  </cols>
  <sheetData>
    <row r="2" spans="2:12" x14ac:dyDescent="0.2">
      <c r="B2" t="e" vm="675">
        <v>#VALUE!</v>
      </c>
      <c r="G2" s="7" t="s">
        <v>238</v>
      </c>
      <c r="H2" s="7">
        <f ca="1">INDEX(LINEST(K11:K70,L11:L70,1,1),1,1)</f>
        <v>0.53848842582382273</v>
      </c>
    </row>
    <row r="3" spans="2:12" x14ac:dyDescent="0.2">
      <c r="B3" t="e" vm="3">
        <v>#VALUE!</v>
      </c>
      <c r="G3" s="7" t="s">
        <v>239</v>
      </c>
      <c r="H3" s="61">
        <f ca="1">INDEX(LINEST(K11:K70,L11:L70,1,1),2,1)</f>
        <v>0.20967169350482254</v>
      </c>
    </row>
    <row r="4" spans="2:12" x14ac:dyDescent="0.2">
      <c r="B4" t="e" vm="1">
        <v>#VALUE!</v>
      </c>
    </row>
    <row r="6" spans="2:12" x14ac:dyDescent="0.2">
      <c r="B6" s="50">
        <v>44256</v>
      </c>
      <c r="C6" s="50"/>
    </row>
    <row r="7" spans="2:12" x14ac:dyDescent="0.2">
      <c r="B7" s="50">
        <v>46082</v>
      </c>
      <c r="C7" s="50"/>
    </row>
    <row r="9" spans="2:12" x14ac:dyDescent="0.2">
      <c r="C9" t="s">
        <v>240</v>
      </c>
      <c r="D9" t="s">
        <v>241</v>
      </c>
      <c r="E9" t="s">
        <v>242</v>
      </c>
    </row>
    <row r="10" spans="2:12" x14ac:dyDescent="0.2">
      <c r="B10" cm="1" vm="4">
        <f t="array" aca="1" ref="B10:C70" ca="1">_xlfn.STOCKHISTORY(B2,$B$6,$B$7,2,0)</f>
        <v>44256</v>
      </c>
      <c r="C10" vm="676">
        <f ca="1"/>
        <v>140.43</v>
      </c>
      <c r="D10" cm="1" vm="6">
        <f t="array" aca="1" ref="D10:D70" ca="1">_xlfn.STOCKHISTORY(B3,$B$6,$B$7,2,0,1)</f>
        <v>396.33</v>
      </c>
      <c r="E10" cm="1" vm="7">
        <f t="array" aca="1" ref="E10:E70" ca="1">_xlfn.STOCKHISTORY(B4,$B$6,$B$7,2,0,1)</f>
        <v>94.484399999999994</v>
      </c>
      <c r="G10" t="s">
        <v>243</v>
      </c>
      <c r="H10" t="s">
        <v>244</v>
      </c>
      <c r="I10" t="s">
        <v>245</v>
      </c>
      <c r="K10" t="s">
        <v>246</v>
      </c>
      <c r="L10" t="s">
        <v>247</v>
      </c>
    </row>
    <row r="11" spans="2:12" x14ac:dyDescent="0.2">
      <c r="B11" vm="8">
        <f ca="1"/>
        <v>44287</v>
      </c>
      <c r="C11" vm="677">
        <f ca="1"/>
        <v>147.41</v>
      </c>
      <c r="D11" vm="10">
        <f ca="1"/>
        <v>417.3</v>
      </c>
      <c r="E11" vm="11">
        <f ca="1"/>
        <v>95.484399999999994</v>
      </c>
      <c r="G11" s="3">
        <f ca="1">(C11-C10)/C10</f>
        <v>4.9704479099907349E-2</v>
      </c>
      <c r="H11" s="3">
        <f ca="1">(D11-D10)/D10</f>
        <v>5.291045341003716E-2</v>
      </c>
      <c r="I11" s="3">
        <f ca="1">(E11-E10)/E10</f>
        <v>1.0583757742018789E-2</v>
      </c>
      <c r="K11" s="3">
        <f ca="1">G11-I11</f>
        <v>3.9120721357888563E-2</v>
      </c>
      <c r="L11" s="3">
        <f ca="1">H11-I11</f>
        <v>4.2326695668018374E-2</v>
      </c>
    </row>
    <row r="12" spans="2:12" x14ac:dyDescent="0.2">
      <c r="B12" vm="12">
        <f ca="1"/>
        <v>44317</v>
      </c>
      <c r="C12" vm="678">
        <f ca="1"/>
        <v>151.91</v>
      </c>
      <c r="D12" vm="14">
        <f ca="1"/>
        <v>420.04</v>
      </c>
      <c r="E12" vm="15">
        <f ca="1"/>
        <v>100.14060000000001</v>
      </c>
      <c r="G12" s="3">
        <f t="shared" ref="G12:I70" ca="1" si="0">(C12-C11)/C11</f>
        <v>3.0527101282138255E-2</v>
      </c>
      <c r="H12" s="3">
        <f t="shared" ca="1" si="0"/>
        <v>6.566019650131821E-3</v>
      </c>
      <c r="I12" s="3">
        <f t="shared" ca="1" si="0"/>
        <v>4.8763986577912338E-2</v>
      </c>
      <c r="K12" s="3">
        <f t="shared" ref="K12:K70" ca="1" si="1">G12-I12</f>
        <v>-1.8236885295774084E-2</v>
      </c>
      <c r="L12" s="3">
        <f t="shared" ref="L12:L70" ca="1" si="2">H12-I12</f>
        <v>-4.2197966927780516E-2</v>
      </c>
    </row>
    <row r="13" spans="2:12" x14ac:dyDescent="0.2">
      <c r="B13" vm="16">
        <f ca="1"/>
        <v>44348</v>
      </c>
      <c r="C13" vm="679">
        <f ca="1"/>
        <v>147.88</v>
      </c>
      <c r="D13" vm="18">
        <f ca="1"/>
        <v>428.06</v>
      </c>
      <c r="E13" vm="19">
        <f ca="1"/>
        <v>101.4063</v>
      </c>
      <c r="G13" s="3">
        <f t="shared" ca="1" si="0"/>
        <v>-2.6528865775788304E-2</v>
      </c>
      <c r="H13" s="3">
        <f t="shared" ca="1" si="0"/>
        <v>1.9093419674316686E-2</v>
      </c>
      <c r="I13" s="3">
        <f t="shared" ca="1" si="0"/>
        <v>1.2639229243683334E-2</v>
      </c>
      <c r="K13" s="3">
        <f t="shared" ca="1" si="1"/>
        <v>-3.916809501947164E-2</v>
      </c>
      <c r="L13" s="3">
        <f t="shared" ca="1" si="2"/>
        <v>6.4541904306333522E-3</v>
      </c>
    </row>
    <row r="14" spans="2:12" x14ac:dyDescent="0.2">
      <c r="B14" vm="20">
        <f ca="1"/>
        <v>44378</v>
      </c>
      <c r="C14" vm="680">
        <f ca="1"/>
        <v>147.07</v>
      </c>
      <c r="D14" vm="22">
        <f ca="1"/>
        <v>438.51</v>
      </c>
      <c r="E14" vm="23">
        <f ca="1"/>
        <v>103.67189999999999</v>
      </c>
      <c r="G14" s="3">
        <f t="shared" ca="1" si="0"/>
        <v>-5.4774141195564124E-3</v>
      </c>
      <c r="H14" s="3">
        <f t="shared" ca="1" si="0"/>
        <v>2.4412465542213681E-2</v>
      </c>
      <c r="I14" s="3">
        <f t="shared" ca="1" si="0"/>
        <v>2.2341807165826896E-2</v>
      </c>
      <c r="K14" s="3">
        <f t="shared" ca="1" si="1"/>
        <v>-2.7819221285383309E-2</v>
      </c>
      <c r="L14" s="3">
        <f t="shared" ca="1" si="2"/>
        <v>2.0706583763867858E-3</v>
      </c>
    </row>
    <row r="15" spans="2:12" x14ac:dyDescent="0.2">
      <c r="B15" vm="24">
        <f ca="1"/>
        <v>44409</v>
      </c>
      <c r="C15" vm="681">
        <f ca="1"/>
        <v>149.75</v>
      </c>
      <c r="D15" vm="25">
        <f ca="1"/>
        <v>451.56</v>
      </c>
      <c r="E15" vm="26">
        <f ca="1"/>
        <v>99.406300000000002</v>
      </c>
      <c r="G15" s="3">
        <f t="shared" ca="1" si="0"/>
        <v>1.8222615081253873E-2</v>
      </c>
      <c r="H15" s="3">
        <f t="shared" ca="1" si="0"/>
        <v>2.9759868646097035E-2</v>
      </c>
      <c r="I15" s="3">
        <f t="shared" ca="1" si="0"/>
        <v>-4.1145189776593198E-2</v>
      </c>
      <c r="K15" s="3">
        <f t="shared" ca="1" si="1"/>
        <v>5.9367804857847067E-2</v>
      </c>
      <c r="L15" s="3">
        <f t="shared" ca="1" si="2"/>
        <v>7.0905058422690237E-2</v>
      </c>
    </row>
    <row r="16" spans="2:12" x14ac:dyDescent="0.2">
      <c r="B16" vm="27">
        <f ca="1"/>
        <v>44440</v>
      </c>
      <c r="C16" vm="682">
        <f ca="1"/>
        <v>151.96</v>
      </c>
      <c r="D16" vm="29">
        <f ca="1"/>
        <v>429.14</v>
      </c>
      <c r="E16" vm="30">
        <f ca="1"/>
        <v>97.703100000000006</v>
      </c>
      <c r="G16" s="3">
        <f t="shared" ca="1" si="0"/>
        <v>1.4757929883138617E-2</v>
      </c>
      <c r="H16" s="3">
        <f t="shared" ca="1" si="0"/>
        <v>-4.9650101869076126E-2</v>
      </c>
      <c r="I16" s="3">
        <f t="shared" ca="1" si="0"/>
        <v>-1.7133722912934041E-2</v>
      </c>
      <c r="K16" s="3">
        <f t="shared" ca="1" si="1"/>
        <v>3.1891652796072659E-2</v>
      </c>
      <c r="L16" s="3">
        <f t="shared" ca="1" si="2"/>
        <v>-3.2516378956142081E-2</v>
      </c>
    </row>
    <row r="17" spans="2:12" x14ac:dyDescent="0.2">
      <c r="B17" vm="31">
        <f ca="1"/>
        <v>44470</v>
      </c>
      <c r="C17" vm="683">
        <f ca="1"/>
        <v>149.93</v>
      </c>
      <c r="D17" vm="33">
        <f ca="1"/>
        <v>459.25</v>
      </c>
      <c r="E17" vm="34">
        <f ca="1"/>
        <v>97.078100000000006</v>
      </c>
      <c r="G17" s="3">
        <f t="shared" ca="1" si="0"/>
        <v>-1.3358778625954205E-2</v>
      </c>
      <c r="H17" s="3">
        <f t="shared" ca="1" si="0"/>
        <v>7.0163582979913347E-2</v>
      </c>
      <c r="I17" s="3">
        <f t="shared" ca="1" si="0"/>
        <v>-6.3969311106812365E-3</v>
      </c>
      <c r="K17" s="3">
        <f t="shared" ca="1" si="1"/>
        <v>-6.9618475152729686E-3</v>
      </c>
      <c r="L17" s="3">
        <f t="shared" ca="1" si="2"/>
        <v>7.6560514090594584E-2</v>
      </c>
    </row>
    <row r="18" spans="2:12" x14ac:dyDescent="0.2">
      <c r="B18" vm="35">
        <f ca="1"/>
        <v>44501</v>
      </c>
      <c r="C18" vm="684">
        <f ca="1"/>
        <v>149.5</v>
      </c>
      <c r="D18" vm="37">
        <f ca="1"/>
        <v>455.56</v>
      </c>
      <c r="E18" vm="38">
        <f ca="1"/>
        <v>98.656300000000002</v>
      </c>
      <c r="G18" s="3">
        <f t="shared" ca="1" si="0"/>
        <v>-2.8680050690322602E-3</v>
      </c>
      <c r="H18" s="3">
        <f t="shared" ca="1" si="0"/>
        <v>-8.0348394120849168E-3</v>
      </c>
      <c r="I18" s="3">
        <f t="shared" ca="1" si="0"/>
        <v>1.6257013682797618E-2</v>
      </c>
      <c r="K18" s="3">
        <f t="shared" ca="1" si="1"/>
        <v>-1.9125018751829877E-2</v>
      </c>
      <c r="L18" s="3">
        <f t="shared" ca="1" si="2"/>
        <v>-2.4291853094882535E-2</v>
      </c>
    </row>
    <row r="19" spans="2:12" x14ac:dyDescent="0.2">
      <c r="B19" vm="39">
        <f ca="1"/>
        <v>44531</v>
      </c>
      <c r="C19" vm="685">
        <f ca="1"/>
        <v>150.97999999999999</v>
      </c>
      <c r="D19" vm="41">
        <f ca="1"/>
        <v>474.96</v>
      </c>
      <c r="E19" vm="42">
        <f ca="1"/>
        <v>98.75</v>
      </c>
      <c r="G19" s="3">
        <f t="shared" ca="1" si="0"/>
        <v>9.8996655518393973E-3</v>
      </c>
      <c r="H19" s="3">
        <f t="shared" ca="1" si="0"/>
        <v>4.2584950390727842E-2</v>
      </c>
      <c r="I19" s="3">
        <f t="shared" ca="1" si="0"/>
        <v>9.4976195134014081E-4</v>
      </c>
      <c r="K19" s="3">
        <f t="shared" ca="1" si="1"/>
        <v>8.9499036004992566E-3</v>
      </c>
      <c r="L19" s="3">
        <f t="shared" ca="1" si="2"/>
        <v>4.1635188439387703E-2</v>
      </c>
    </row>
    <row r="20" spans="2:12" x14ac:dyDescent="0.2">
      <c r="B20" vm="43">
        <f ca="1"/>
        <v>44562</v>
      </c>
      <c r="C20" vm="686">
        <f ca="1"/>
        <v>165.38</v>
      </c>
      <c r="D20" vm="45">
        <f ca="1"/>
        <v>449.91</v>
      </c>
      <c r="E20" vm="46">
        <f ca="1"/>
        <v>96.296899999999994</v>
      </c>
      <c r="G20" s="3">
        <f t="shared" ca="1" si="0"/>
        <v>9.5376871108756173E-2</v>
      </c>
      <c r="H20" s="3">
        <f t="shared" ca="1" si="0"/>
        <v>-5.2741283476503191E-2</v>
      </c>
      <c r="I20" s="3">
        <f t="shared" ca="1" si="0"/>
        <v>-2.4841518987341837E-2</v>
      </c>
      <c r="K20" s="3">
        <f t="shared" ca="1" si="1"/>
        <v>0.12021839009609801</v>
      </c>
      <c r="L20" s="3">
        <f t="shared" ca="1" si="2"/>
        <v>-2.7899764489161354E-2</v>
      </c>
    </row>
    <row r="21" spans="2:12" x14ac:dyDescent="0.2">
      <c r="B21" vm="47">
        <f ca="1"/>
        <v>44593</v>
      </c>
      <c r="C21" vm="687">
        <f ca="1"/>
        <v>185.05</v>
      </c>
      <c r="D21" vm="49">
        <f ca="1"/>
        <v>436.63</v>
      </c>
      <c r="E21" vm="50">
        <f ca="1"/>
        <v>99.75</v>
      </c>
      <c r="G21" s="3">
        <f t="shared" ca="1" si="0"/>
        <v>0.11893820292659341</v>
      </c>
      <c r="H21" s="3">
        <f t="shared" ca="1" si="0"/>
        <v>-2.9517014514013978E-2</v>
      </c>
      <c r="I21" s="3">
        <f t="shared" ca="1" si="0"/>
        <v>3.5858890576955293E-2</v>
      </c>
      <c r="K21" s="3">
        <f t="shared" ca="1" si="1"/>
        <v>8.3079312349638113E-2</v>
      </c>
      <c r="L21" s="3">
        <f t="shared" ca="1" si="2"/>
        <v>-6.5375905090969272E-2</v>
      </c>
    </row>
    <row r="22" spans="2:12" x14ac:dyDescent="0.2">
      <c r="B22" vm="51">
        <f ca="1"/>
        <v>44621</v>
      </c>
      <c r="C22" vm="688">
        <f ca="1"/>
        <v>188.48</v>
      </c>
      <c r="D22" vm="53">
        <f ca="1"/>
        <v>451.64</v>
      </c>
      <c r="E22" vm="54">
        <f ca="1"/>
        <v>95.8125</v>
      </c>
      <c r="G22" s="3">
        <f t="shared" ca="1" si="0"/>
        <v>1.8535530937584317E-2</v>
      </c>
      <c r="H22" s="3">
        <f t="shared" ca="1" si="0"/>
        <v>3.4376932414172161E-2</v>
      </c>
      <c r="I22" s="3">
        <f t="shared" ca="1" si="0"/>
        <v>-3.9473684210526314E-2</v>
      </c>
      <c r="K22" s="3">
        <f t="shared" ca="1" si="1"/>
        <v>5.8009215148110631E-2</v>
      </c>
      <c r="L22" s="3">
        <f t="shared" ca="1" si="2"/>
        <v>7.3850616624698467E-2</v>
      </c>
    </row>
    <row r="23" spans="2:12" x14ac:dyDescent="0.2">
      <c r="B23" vm="55">
        <f ca="1"/>
        <v>44652</v>
      </c>
      <c r="C23" vm="689">
        <f ca="1"/>
        <v>158.41999999999999</v>
      </c>
      <c r="D23" vm="57">
        <f ca="1"/>
        <v>412</v>
      </c>
      <c r="E23" vm="58">
        <f ca="1"/>
        <v>91.015600000000006</v>
      </c>
      <c r="G23" s="3">
        <f t="shared" ca="1" si="0"/>
        <v>-0.15948641765704585</v>
      </c>
      <c r="H23" s="3">
        <f t="shared" ca="1" si="0"/>
        <v>-8.7769019573111298E-2</v>
      </c>
      <c r="I23" s="3">
        <f t="shared" ca="1" si="0"/>
        <v>-5.0065492498369148E-2</v>
      </c>
      <c r="K23" s="3">
        <f t="shared" ca="1" si="1"/>
        <v>-0.10942092515867671</v>
      </c>
      <c r="L23" s="3">
        <f t="shared" ca="1" si="2"/>
        <v>-3.7703527074742151E-2</v>
      </c>
    </row>
    <row r="24" spans="2:12" x14ac:dyDescent="0.2">
      <c r="B24" vm="59">
        <f ca="1"/>
        <v>44682</v>
      </c>
      <c r="C24" vm="690">
        <f ca="1"/>
        <v>175.22</v>
      </c>
      <c r="D24" vm="61">
        <f ca="1"/>
        <v>412.93</v>
      </c>
      <c r="E24" vm="62">
        <f ca="1"/>
        <v>100.0938</v>
      </c>
      <c r="G24" s="3">
        <f t="shared" ca="1" si="0"/>
        <v>0.10604721626057324</v>
      </c>
      <c r="H24" s="3">
        <f t="shared" ca="1" si="0"/>
        <v>2.2572815533980746E-3</v>
      </c>
      <c r="I24" s="3">
        <f t="shared" ca="1" si="0"/>
        <v>9.9743340702033445E-2</v>
      </c>
      <c r="K24" s="3">
        <f t="shared" ca="1" si="1"/>
        <v>6.3038755585397982E-3</v>
      </c>
      <c r="L24" s="3">
        <f t="shared" ca="1" si="2"/>
        <v>-9.7486059148635368E-2</v>
      </c>
    </row>
    <row r="25" spans="2:12" x14ac:dyDescent="0.2">
      <c r="B25" vm="63">
        <f ca="1"/>
        <v>44713</v>
      </c>
      <c r="C25" vm="691">
        <f ca="1"/>
        <v>162.88</v>
      </c>
      <c r="D25" vm="65">
        <f ca="1"/>
        <v>377.25</v>
      </c>
      <c r="E25" vm="66">
        <f ca="1"/>
        <v>98.796899999999994</v>
      </c>
      <c r="G25" s="3">
        <f t="shared" ca="1" si="0"/>
        <v>-7.0425750485104466E-2</v>
      </c>
      <c r="H25" s="3">
        <f t="shared" ca="1" si="0"/>
        <v>-8.6406897052769244E-2</v>
      </c>
      <c r="I25" s="3">
        <f t="shared" ca="1" si="0"/>
        <v>-1.2956846478003712E-2</v>
      </c>
      <c r="K25" s="3">
        <f t="shared" ca="1" si="1"/>
        <v>-5.7468904007100752E-2</v>
      </c>
      <c r="L25" s="3">
        <f t="shared" ca="1" si="2"/>
        <v>-7.345005057476553E-2</v>
      </c>
    </row>
    <row r="26" spans="2:12" x14ac:dyDescent="0.2">
      <c r="B26" vm="67">
        <f ca="1"/>
        <v>44743</v>
      </c>
      <c r="C26" vm="692">
        <f ca="1"/>
        <v>188.37</v>
      </c>
      <c r="D26" vm="69">
        <f ca="1"/>
        <v>411.99</v>
      </c>
      <c r="E26" vm="70">
        <f ca="1"/>
        <v>101.7813</v>
      </c>
      <c r="G26" s="3">
        <f t="shared" ca="1" si="0"/>
        <v>0.15649557956778001</v>
      </c>
      <c r="H26" s="3">
        <f t="shared" ca="1" si="0"/>
        <v>9.2087475149105397E-2</v>
      </c>
      <c r="I26" s="3">
        <f t="shared" ca="1" si="0"/>
        <v>3.0207425536631291E-2</v>
      </c>
      <c r="K26" s="3">
        <f t="shared" ca="1" si="1"/>
        <v>0.12628815403114874</v>
      </c>
      <c r="L26" s="3">
        <f t="shared" ca="1" si="2"/>
        <v>6.1880049612474106E-2</v>
      </c>
    </row>
    <row r="27" spans="2:12" x14ac:dyDescent="0.2">
      <c r="B27" vm="71">
        <f ca="1"/>
        <v>44774</v>
      </c>
      <c r="C27" vm="693">
        <f ca="1"/>
        <v>191.32</v>
      </c>
      <c r="D27" vm="73">
        <f ca="1"/>
        <v>395.18</v>
      </c>
      <c r="E27" vm="74">
        <f ca="1"/>
        <v>96.234399999999994</v>
      </c>
      <c r="G27" s="3">
        <f t="shared" ca="1" si="0"/>
        <v>1.5660667834580817E-2</v>
      </c>
      <c r="H27" s="3">
        <f t="shared" ca="1" si="0"/>
        <v>-4.0801961212650797E-2</v>
      </c>
      <c r="I27" s="3">
        <f t="shared" ca="1" si="0"/>
        <v>-5.4498223151011119E-2</v>
      </c>
      <c r="K27" s="3">
        <f t="shared" ca="1" si="1"/>
        <v>7.0158890985591943E-2</v>
      </c>
      <c r="L27" s="3">
        <f t="shared" ca="1" si="2"/>
        <v>1.3696261938360321E-2</v>
      </c>
    </row>
    <row r="28" spans="2:12" x14ac:dyDescent="0.2">
      <c r="B28" vm="75">
        <f ca="1"/>
        <v>44805</v>
      </c>
      <c r="C28" vm="694">
        <f ca="1"/>
        <v>166.85</v>
      </c>
      <c r="D28" vm="77">
        <f ca="1"/>
        <v>357.18</v>
      </c>
      <c r="E28" vm="78">
        <f ca="1"/>
        <v>91.203100000000006</v>
      </c>
      <c r="G28" s="3">
        <f t="shared" ca="1" si="0"/>
        <v>-0.12790089901735313</v>
      </c>
      <c r="H28" s="3">
        <f t="shared" ca="1" si="0"/>
        <v>-9.615871248544966E-2</v>
      </c>
      <c r="I28" s="3">
        <f t="shared" ca="1" si="0"/>
        <v>-5.2281720465862394E-2</v>
      </c>
      <c r="K28" s="3">
        <f t="shared" ca="1" si="1"/>
        <v>-7.5619178551490737E-2</v>
      </c>
      <c r="L28" s="3">
        <f t="shared" ca="1" si="2"/>
        <v>-4.3876992019587266E-2</v>
      </c>
    </row>
    <row r="29" spans="2:12" x14ac:dyDescent="0.2">
      <c r="B29" vm="79">
        <f ca="1"/>
        <v>44835</v>
      </c>
      <c r="C29" vm="695">
        <f ca="1"/>
        <v>171.3</v>
      </c>
      <c r="D29" vm="81">
        <f ca="1"/>
        <v>386.21</v>
      </c>
      <c r="E29" vm="82">
        <f ca="1"/>
        <v>89.531300000000002</v>
      </c>
      <c r="G29" s="3">
        <f t="shared" ca="1" si="0"/>
        <v>2.6670662271501451E-2</v>
      </c>
      <c r="H29" s="3">
        <f t="shared" ca="1" si="0"/>
        <v>8.1275547343076238E-2</v>
      </c>
      <c r="I29" s="3">
        <f t="shared" ca="1" si="0"/>
        <v>-1.8330517274083934E-2</v>
      </c>
      <c r="K29" s="3">
        <f t="shared" ca="1" si="1"/>
        <v>4.5001179545585385E-2</v>
      </c>
      <c r="L29" s="3">
        <f t="shared" ca="1" si="2"/>
        <v>9.9606064617160178E-2</v>
      </c>
    </row>
    <row r="30" spans="2:12" x14ac:dyDescent="0.2">
      <c r="B30" vm="83">
        <f ca="1"/>
        <v>44866</v>
      </c>
      <c r="C30" vm="696">
        <f ca="1"/>
        <v>189.56</v>
      </c>
      <c r="D30" vm="85">
        <f ca="1"/>
        <v>407.68</v>
      </c>
      <c r="E30" vm="86">
        <f ca="1"/>
        <v>103.1875</v>
      </c>
      <c r="G30" s="3">
        <f t="shared" ca="1" si="0"/>
        <v>0.10659661412726205</v>
      </c>
      <c r="H30" s="3">
        <f t="shared" ca="1" si="0"/>
        <v>5.5591517568162475E-2</v>
      </c>
      <c r="I30" s="3">
        <f t="shared" ca="1" si="0"/>
        <v>0.15252989736550232</v>
      </c>
      <c r="K30" s="3">
        <f t="shared" ca="1" si="1"/>
        <v>-4.5933283238240266E-2</v>
      </c>
      <c r="L30" s="3">
        <f t="shared" ca="1" si="2"/>
        <v>-9.6938379797339852E-2</v>
      </c>
    </row>
    <row r="31" spans="2:12" x14ac:dyDescent="0.2">
      <c r="B31" vm="87">
        <f ca="1"/>
        <v>44896</v>
      </c>
      <c r="C31" vm="697">
        <f ca="1"/>
        <v>175.03</v>
      </c>
      <c r="D31" vm="89">
        <f ca="1"/>
        <v>382.43</v>
      </c>
      <c r="E31" vm="90">
        <f ca="1"/>
        <v>102</v>
      </c>
      <c r="G31" s="3">
        <f t="shared" ca="1" si="0"/>
        <v>-7.6651192234648668E-2</v>
      </c>
      <c r="H31" s="3">
        <f t="shared" ca="1" si="0"/>
        <v>-6.1935832025117737E-2</v>
      </c>
      <c r="I31" s="3">
        <f t="shared" ca="1" si="0"/>
        <v>-1.1508176862507571E-2</v>
      </c>
      <c r="K31" s="3">
        <f t="shared" ca="1" si="1"/>
        <v>-6.5143015372141094E-2</v>
      </c>
      <c r="L31" s="3">
        <f t="shared" ca="1" si="2"/>
        <v>-5.0427655162610163E-2</v>
      </c>
    </row>
    <row r="32" spans="2:12" x14ac:dyDescent="0.2">
      <c r="B32" vm="91">
        <f ca="1"/>
        <v>44927</v>
      </c>
      <c r="C32" vm="698">
        <f ca="1"/>
        <v>204.77</v>
      </c>
      <c r="D32" vm="93">
        <f ca="1"/>
        <v>406.48</v>
      </c>
      <c r="E32" vm="94">
        <f ca="1"/>
        <v>104.8438</v>
      </c>
      <c r="G32" s="3">
        <f t="shared" ca="1" si="0"/>
        <v>0.16991372907501576</v>
      </c>
      <c r="H32" s="3">
        <f t="shared" ca="1" si="0"/>
        <v>6.2887325785111026E-2</v>
      </c>
      <c r="I32" s="3">
        <f t="shared" ca="1" si="0"/>
        <v>2.7880392156862763E-2</v>
      </c>
      <c r="K32" s="3">
        <f t="shared" ca="1" si="1"/>
        <v>0.14203333691815301</v>
      </c>
      <c r="L32" s="3">
        <f t="shared" ca="1" si="2"/>
        <v>3.5006933628248263E-2</v>
      </c>
    </row>
    <row r="33" spans="2:12" x14ac:dyDescent="0.2">
      <c r="B33" vm="95">
        <f ca="1"/>
        <v>44958</v>
      </c>
      <c r="C33" vm="699">
        <f ca="1"/>
        <v>185.9</v>
      </c>
      <c r="D33" vm="97">
        <f ca="1"/>
        <v>396.26</v>
      </c>
      <c r="E33" vm="98">
        <f ca="1"/>
        <v>96.531300000000002</v>
      </c>
      <c r="G33" s="3">
        <f t="shared" ca="1" si="0"/>
        <v>-9.2152170728134017E-2</v>
      </c>
      <c r="H33" s="3">
        <f t="shared" ca="1" si="0"/>
        <v>-2.5142688447156138E-2</v>
      </c>
      <c r="I33" s="3">
        <f t="shared" ca="1" si="0"/>
        <v>-7.9284611965609791E-2</v>
      </c>
      <c r="K33" s="3">
        <f t="shared" ca="1" si="1"/>
        <v>-1.2867558762524225E-2</v>
      </c>
      <c r="L33" s="3">
        <f t="shared" ca="1" si="2"/>
        <v>5.414192351845365E-2</v>
      </c>
    </row>
    <row r="34" spans="2:12" x14ac:dyDescent="0.2">
      <c r="B34" vm="99">
        <f ca="1"/>
        <v>44986</v>
      </c>
      <c r="C34" vm="700">
        <f ca="1"/>
        <v>172.66</v>
      </c>
      <c r="D34" vm="101">
        <f ca="1"/>
        <v>409.39</v>
      </c>
      <c r="E34" vm="102">
        <f ca="1"/>
        <v>100.2188</v>
      </c>
      <c r="G34" s="3">
        <f t="shared" ca="1" si="0"/>
        <v>-7.1221086605702033E-2</v>
      </c>
      <c r="H34" s="3">
        <f t="shared" ca="1" si="0"/>
        <v>3.3134810477968998E-2</v>
      </c>
      <c r="I34" s="3">
        <f t="shared" ca="1" si="0"/>
        <v>3.8200044959510543E-2</v>
      </c>
      <c r="K34" s="3">
        <f t="shared" ca="1" si="1"/>
        <v>-0.10942113156521258</v>
      </c>
      <c r="L34" s="3">
        <f t="shared" ca="1" si="2"/>
        <v>-5.0652344815415445E-3</v>
      </c>
    </row>
    <row r="35" spans="2:12" x14ac:dyDescent="0.2">
      <c r="B35" vm="103">
        <f ca="1"/>
        <v>45017</v>
      </c>
      <c r="C35" vm="701">
        <f ca="1"/>
        <v>173.45</v>
      </c>
      <c r="D35" vm="105">
        <f ca="1"/>
        <v>415.93</v>
      </c>
      <c r="E35" vm="106">
        <f ca="1"/>
        <v>100.42189999999999</v>
      </c>
      <c r="G35" s="3">
        <f t="shared" ca="1" si="0"/>
        <v>4.5754662342174911E-3</v>
      </c>
      <c r="H35" s="3">
        <f t="shared" ca="1" si="0"/>
        <v>1.5974987176042454E-2</v>
      </c>
      <c r="I35" s="3">
        <f t="shared" ca="1" si="0"/>
        <v>2.0265658738678975E-3</v>
      </c>
      <c r="K35" s="3">
        <f t="shared" ca="1" si="1"/>
        <v>2.5489003603495937E-3</v>
      </c>
      <c r="L35" s="3">
        <f t="shared" ca="1" si="2"/>
        <v>1.3948421302174557E-2</v>
      </c>
    </row>
    <row r="36" spans="2:12" x14ac:dyDescent="0.2">
      <c r="B36" vm="107">
        <f ca="1"/>
        <v>45047</v>
      </c>
      <c r="C36" vm="702">
        <f ca="1"/>
        <v>150.91999999999999</v>
      </c>
      <c r="D36" vm="109">
        <f ca="1"/>
        <v>417.85</v>
      </c>
      <c r="E36" vm="110">
        <f ca="1"/>
        <v>97.8125</v>
      </c>
      <c r="G36" s="3">
        <f t="shared" ca="1" si="0"/>
        <v>-0.12989334102046701</v>
      </c>
      <c r="H36" s="3">
        <f t="shared" ca="1" si="0"/>
        <v>4.6161613733080465E-3</v>
      </c>
      <c r="I36" s="3">
        <f t="shared" ca="1" si="0"/>
        <v>-2.5984371934806988E-2</v>
      </c>
      <c r="K36" s="3">
        <f t="shared" ca="1" si="1"/>
        <v>-0.10390896908566002</v>
      </c>
      <c r="L36" s="3">
        <f t="shared" ca="1" si="2"/>
        <v>3.0600533308115033E-2</v>
      </c>
    </row>
    <row r="37" spans="2:12" x14ac:dyDescent="0.2">
      <c r="B37" vm="111">
        <f ca="1"/>
        <v>45078</v>
      </c>
      <c r="C37" vm="703">
        <f ca="1"/>
        <v>166.55</v>
      </c>
      <c r="D37" vm="113">
        <f ca="1"/>
        <v>443.28</v>
      </c>
      <c r="E37" vm="114">
        <f ca="1"/>
        <v>96.203100000000006</v>
      </c>
      <c r="G37" s="3">
        <f t="shared" ca="1" si="0"/>
        <v>0.10356480254439455</v>
      </c>
      <c r="H37" s="3">
        <f t="shared" ca="1" si="0"/>
        <v>6.0859159985640655E-2</v>
      </c>
      <c r="I37" s="3">
        <f t="shared" ca="1" si="0"/>
        <v>-1.645392971246E-2</v>
      </c>
      <c r="K37" s="3">
        <f t="shared" ca="1" si="1"/>
        <v>0.12001873225685455</v>
      </c>
      <c r="L37" s="3">
        <f t="shared" ca="1" si="2"/>
        <v>7.7313089698100662E-2</v>
      </c>
    </row>
    <row r="38" spans="2:12" x14ac:dyDescent="0.2">
      <c r="B38" vm="115">
        <f ca="1"/>
        <v>45108</v>
      </c>
      <c r="C38" vm="704">
        <f ca="1"/>
        <v>186.72</v>
      </c>
      <c r="D38" vm="117">
        <f ca="1"/>
        <v>457.79</v>
      </c>
      <c r="E38" vm="118">
        <f ca="1"/>
        <v>95.25</v>
      </c>
      <c r="G38" s="3">
        <f t="shared" ca="1" si="0"/>
        <v>0.12110477334133886</v>
      </c>
      <c r="H38" s="3">
        <f t="shared" ca="1" si="0"/>
        <v>3.273326114419791E-2</v>
      </c>
      <c r="I38" s="3">
        <f t="shared" ca="1" si="0"/>
        <v>-9.9071651537217219E-3</v>
      </c>
      <c r="K38" s="3">
        <f t="shared" ca="1" si="1"/>
        <v>0.13101193849506057</v>
      </c>
      <c r="L38" s="3">
        <f t="shared" ca="1" si="2"/>
        <v>4.2640426297919629E-2</v>
      </c>
    </row>
    <row r="39" spans="2:12" x14ac:dyDescent="0.2">
      <c r="B39" vm="119">
        <f ca="1"/>
        <v>45139</v>
      </c>
      <c r="C39" vm="705">
        <f ca="1"/>
        <v>162.80000000000001</v>
      </c>
      <c r="D39" vm="121">
        <f ca="1"/>
        <v>450.35</v>
      </c>
      <c r="E39" vm="122">
        <f ca="1"/>
        <v>98.0625</v>
      </c>
      <c r="G39" s="3">
        <f t="shared" ca="1" si="0"/>
        <v>-0.12810625535561262</v>
      </c>
      <c r="H39" s="3">
        <f t="shared" ca="1" si="0"/>
        <v>-1.6251993272024284E-2</v>
      </c>
      <c r="I39" s="3">
        <f t="shared" ca="1" si="0"/>
        <v>2.952755905511811E-2</v>
      </c>
      <c r="K39" s="3">
        <f t="shared" ca="1" si="1"/>
        <v>-0.15763381441073074</v>
      </c>
      <c r="L39" s="3">
        <f t="shared" ca="1" si="2"/>
        <v>-4.5779552327142398E-2</v>
      </c>
    </row>
    <row r="40" spans="2:12" x14ac:dyDescent="0.2">
      <c r="B40" vm="123">
        <f ca="1"/>
        <v>45170</v>
      </c>
      <c r="C40" vm="706">
        <f ca="1"/>
        <v>143.37</v>
      </c>
      <c r="D40" vm="125">
        <f ca="1"/>
        <v>427.48</v>
      </c>
      <c r="E40" vm="126">
        <f ca="1"/>
        <v>94.453100000000006</v>
      </c>
      <c r="G40" s="3">
        <f t="shared" ca="1" si="0"/>
        <v>-0.11934889434889438</v>
      </c>
      <c r="H40" s="3">
        <f t="shared" ca="1" si="0"/>
        <v>-5.0782724547574119E-2</v>
      </c>
      <c r="I40" s="3">
        <f t="shared" ca="1" si="0"/>
        <v>-3.6807138304652584E-2</v>
      </c>
      <c r="K40" s="3">
        <f t="shared" ca="1" si="1"/>
        <v>-8.2541756044241799E-2</v>
      </c>
      <c r="L40" s="3">
        <f t="shared" ca="1" si="2"/>
        <v>-1.3975586242921535E-2</v>
      </c>
    </row>
    <row r="41" spans="2:12" x14ac:dyDescent="0.2">
      <c r="B41" vm="127">
        <f ca="1"/>
        <v>45200</v>
      </c>
      <c r="C41" vm="707">
        <f ca="1"/>
        <v>140.08000000000001</v>
      </c>
      <c r="D41" vm="129">
        <f ca="1"/>
        <v>418.2</v>
      </c>
      <c r="E41" vm="130">
        <f ca="1"/>
        <v>91.890600000000006</v>
      </c>
      <c r="G41" s="3">
        <f t="shared" ca="1" si="0"/>
        <v>-2.2947618051196151E-2</v>
      </c>
      <c r="H41" s="3">
        <f t="shared" ca="1" si="0"/>
        <v>-2.1708617947038527E-2</v>
      </c>
      <c r="I41" s="3">
        <f t="shared" ca="1" si="0"/>
        <v>-2.7129866568699174E-2</v>
      </c>
      <c r="K41" s="3">
        <f t="shared" ca="1" si="1"/>
        <v>4.1822485175030226E-3</v>
      </c>
      <c r="L41" s="3">
        <f t="shared" ca="1" si="2"/>
        <v>5.4212486216606466E-3</v>
      </c>
    </row>
    <row r="42" spans="2:12" x14ac:dyDescent="0.2">
      <c r="B42" vm="131">
        <f ca="1"/>
        <v>45231</v>
      </c>
      <c r="C42" vm="708">
        <f ca="1"/>
        <v>141.93</v>
      </c>
      <c r="D42" vm="133">
        <f ca="1"/>
        <v>456.4</v>
      </c>
      <c r="E42" vm="134">
        <f ca="1"/>
        <v>102.01560000000001</v>
      </c>
      <c r="G42" s="3">
        <f t="shared" ca="1" si="0"/>
        <v>1.3206739006282083E-2</v>
      </c>
      <c r="H42" s="3">
        <f t="shared" ca="1" si="0"/>
        <v>9.134385461501672E-2</v>
      </c>
      <c r="I42" s="3">
        <f t="shared" ca="1" si="0"/>
        <v>0.11018537260612075</v>
      </c>
      <c r="K42" s="3">
        <f t="shared" ca="1" si="1"/>
        <v>-9.6978633599838673E-2</v>
      </c>
      <c r="L42" s="3">
        <f t="shared" ca="1" si="2"/>
        <v>-1.8841517991104034E-2</v>
      </c>
    </row>
    <row r="43" spans="2:12" x14ac:dyDescent="0.2">
      <c r="B43" vm="135">
        <f ca="1"/>
        <v>45261</v>
      </c>
      <c r="C43" vm="709">
        <f ca="1"/>
        <v>156.75</v>
      </c>
      <c r="D43" vm="137">
        <f ca="1"/>
        <v>475.31</v>
      </c>
      <c r="E43" vm="138">
        <f ca="1"/>
        <v>105.1563</v>
      </c>
      <c r="G43" s="3">
        <f t="shared" ca="1" si="0"/>
        <v>0.10441767068273088</v>
      </c>
      <c r="H43" s="3">
        <f t="shared" ca="1" si="0"/>
        <v>4.1432953549518023E-2</v>
      </c>
      <c r="I43" s="3">
        <f t="shared" ca="1" si="0"/>
        <v>3.0786467951960241E-2</v>
      </c>
      <c r="K43" s="3">
        <f t="shared" ca="1" si="1"/>
        <v>7.3631202730770631E-2</v>
      </c>
      <c r="L43" s="3">
        <f t="shared" ca="1" si="2"/>
        <v>1.0646485597557782E-2</v>
      </c>
    </row>
    <row r="44" spans="2:12" x14ac:dyDescent="0.2">
      <c r="B44" vm="139">
        <f ca="1"/>
        <v>45292</v>
      </c>
      <c r="C44" vm="710">
        <f ca="1"/>
        <v>177.71</v>
      </c>
      <c r="D44" vm="141">
        <f ca="1"/>
        <v>482.88</v>
      </c>
      <c r="E44" vm="142">
        <f ca="1"/>
        <v>103.6875</v>
      </c>
      <c r="G44" s="3">
        <f t="shared" ca="1" si="0"/>
        <v>0.13371610845295062</v>
      </c>
      <c r="H44" s="3">
        <f t="shared" ca="1" si="0"/>
        <v>1.5926448002356344E-2</v>
      </c>
      <c r="I44" s="3">
        <f t="shared" ca="1" si="0"/>
        <v>-1.3967779391249041E-2</v>
      </c>
      <c r="K44" s="3">
        <f t="shared" ca="1" si="1"/>
        <v>0.14768388784419967</v>
      </c>
      <c r="L44" s="3">
        <f t="shared" ca="1" si="2"/>
        <v>2.9894227393605387E-2</v>
      </c>
    </row>
    <row r="45" spans="2:12" x14ac:dyDescent="0.2">
      <c r="B45" vm="143">
        <f ca="1"/>
        <v>45323</v>
      </c>
      <c r="C45" vm="711">
        <f ca="1"/>
        <v>166.17</v>
      </c>
      <c r="D45" vm="145">
        <f ca="1"/>
        <v>508.08</v>
      </c>
      <c r="E45" vm="146">
        <f ca="1"/>
        <v>97.875</v>
      </c>
      <c r="G45" s="3">
        <f t="shared" ca="1" si="0"/>
        <v>-6.4937257329356929E-2</v>
      </c>
      <c r="H45" s="3">
        <f t="shared" ca="1" si="0"/>
        <v>5.2186878727634174E-2</v>
      </c>
      <c r="I45" s="3">
        <f t="shared" ca="1" si="0"/>
        <v>-5.6057866184448461E-2</v>
      </c>
      <c r="K45" s="3">
        <f t="shared" ca="1" si="1"/>
        <v>-8.8793911449084675E-3</v>
      </c>
      <c r="L45" s="3">
        <f t="shared" ca="1" si="2"/>
        <v>0.10824474491208264</v>
      </c>
    </row>
    <row r="46" spans="2:12" x14ac:dyDescent="0.2">
      <c r="B46" vm="147">
        <f ca="1"/>
        <v>45352</v>
      </c>
      <c r="C46" vm="712">
        <f ca="1"/>
        <v>172.29</v>
      </c>
      <c r="D46" vm="149">
        <f ca="1"/>
        <v>523.07000000000005</v>
      </c>
      <c r="E46" vm="150">
        <f ca="1"/>
        <v>98.468800000000002</v>
      </c>
      <c r="G46" s="3">
        <f t="shared" ca="1" si="0"/>
        <v>3.6829752662935575E-2</v>
      </c>
      <c r="H46" s="3">
        <f t="shared" ca="1" si="0"/>
        <v>2.9503227838135856E-2</v>
      </c>
      <c r="I46" s="3">
        <f t="shared" ca="1" si="0"/>
        <v>6.0669220945083185E-3</v>
      </c>
      <c r="K46" s="3">
        <f t="shared" ca="1" si="1"/>
        <v>3.0762830568427255E-2</v>
      </c>
      <c r="L46" s="3">
        <f t="shared" ca="1" si="2"/>
        <v>2.3436305743627539E-2</v>
      </c>
    </row>
    <row r="47" spans="2:12" x14ac:dyDescent="0.2">
      <c r="B47" vm="151">
        <f ca="1"/>
        <v>45383</v>
      </c>
      <c r="C47" vm="713">
        <f ca="1"/>
        <v>160.06</v>
      </c>
      <c r="D47" vm="153">
        <f ca="1"/>
        <v>501.98</v>
      </c>
      <c r="E47" vm="154">
        <f ca="1"/>
        <v>94.6875</v>
      </c>
      <c r="G47" s="3">
        <f t="shared" ca="1" si="0"/>
        <v>-7.0984967206454183E-2</v>
      </c>
      <c r="H47" s="3">
        <f t="shared" ca="1" si="0"/>
        <v>-4.031965128950242E-2</v>
      </c>
      <c r="I47" s="3">
        <f t="shared" ca="1" si="0"/>
        <v>-3.8400996051541215E-2</v>
      </c>
      <c r="K47" s="3">
        <f t="shared" ca="1" si="1"/>
        <v>-3.2583971154912968E-2</v>
      </c>
      <c r="L47" s="3">
        <f t="shared" ca="1" si="2"/>
        <v>-1.9186552379612046E-3</v>
      </c>
    </row>
    <row r="48" spans="2:12" x14ac:dyDescent="0.2">
      <c r="B48" vm="155">
        <f ca="1"/>
        <v>45413</v>
      </c>
      <c r="C48" vm="714">
        <f ca="1"/>
        <v>165.69</v>
      </c>
      <c r="D48" vm="157">
        <f ca="1"/>
        <v>527.37</v>
      </c>
      <c r="E48" vm="158">
        <f ca="1"/>
        <v>98.984399999999994</v>
      </c>
      <c r="G48" s="3">
        <f t="shared" ca="1" si="0"/>
        <v>3.5174309633887263E-2</v>
      </c>
      <c r="H48" s="3">
        <f t="shared" ca="1" si="0"/>
        <v>5.0579704370692029E-2</v>
      </c>
      <c r="I48" s="3">
        <f t="shared" ca="1" si="0"/>
        <v>4.5379801980197955E-2</v>
      </c>
      <c r="K48" s="3">
        <f t="shared" ca="1" si="1"/>
        <v>-1.0205492346310692E-2</v>
      </c>
      <c r="L48" s="3">
        <f t="shared" ca="1" si="2"/>
        <v>5.1999023904940739E-3</v>
      </c>
    </row>
    <row r="49" spans="2:12" x14ac:dyDescent="0.2">
      <c r="B49" vm="159">
        <f ca="1"/>
        <v>45444</v>
      </c>
      <c r="C49" vm="715">
        <f ca="1"/>
        <v>166.01</v>
      </c>
      <c r="D49" vm="161">
        <f ca="1"/>
        <v>544.22</v>
      </c>
      <c r="E49" vm="162">
        <f ca="1"/>
        <v>99.671899999999994</v>
      </c>
      <c r="G49" s="3">
        <f t="shared" ca="1" si="0"/>
        <v>1.9313175206710916E-3</v>
      </c>
      <c r="H49" s="3">
        <f t="shared" ca="1" si="0"/>
        <v>3.1951002142708199E-2</v>
      </c>
      <c r="I49" s="3">
        <f t="shared" ca="1" si="0"/>
        <v>6.9455388929972805E-3</v>
      </c>
      <c r="K49" s="3">
        <f t="shared" ca="1" si="1"/>
        <v>-5.0142213723261891E-3</v>
      </c>
      <c r="L49" s="3">
        <f t="shared" ca="1" si="2"/>
        <v>2.5005463249710917E-2</v>
      </c>
    </row>
    <row r="50" spans="2:12" x14ac:dyDescent="0.2">
      <c r="B50" vm="163">
        <f ca="1"/>
        <v>45474</v>
      </c>
      <c r="C50" vm="716">
        <f ca="1"/>
        <v>184.79</v>
      </c>
      <c r="D50" vm="165">
        <f ca="1"/>
        <v>550.80999999999995</v>
      </c>
      <c r="E50" vm="166">
        <f ca="1"/>
        <v>102.5313</v>
      </c>
      <c r="G50" s="3">
        <f t="shared" ca="1" si="0"/>
        <v>0.11312571531835433</v>
      </c>
      <c r="H50" s="3">
        <f t="shared" ca="1" si="0"/>
        <v>1.210907353643732E-2</v>
      </c>
      <c r="I50" s="3">
        <f t="shared" ca="1" si="0"/>
        <v>2.8688125740554841E-2</v>
      </c>
      <c r="K50" s="3">
        <f t="shared" ca="1" si="1"/>
        <v>8.4437589577799482E-2</v>
      </c>
      <c r="L50" s="3">
        <f t="shared" ca="1" si="2"/>
        <v>-1.6579052204117522E-2</v>
      </c>
    </row>
    <row r="51" spans="2:12" x14ac:dyDescent="0.2">
      <c r="B51" vm="167">
        <f ca="1"/>
        <v>45505</v>
      </c>
      <c r="C51" vm="717">
        <f ca="1"/>
        <v>170.88</v>
      </c>
      <c r="D51" vm="169">
        <f ca="1"/>
        <v>563.67999999999995</v>
      </c>
      <c r="E51" vm="170">
        <f ca="1"/>
        <v>99.718800000000002</v>
      </c>
      <c r="G51" s="3">
        <f t="shared" ca="1" si="0"/>
        <v>-7.5274636073380585E-2</v>
      </c>
      <c r="H51" s="3">
        <f t="shared" ca="1" si="0"/>
        <v>2.3365588860042495E-2</v>
      </c>
      <c r="I51" s="3">
        <f t="shared" ca="1" si="0"/>
        <v>-2.7430648006998837E-2</v>
      </c>
      <c r="K51" s="3">
        <f t="shared" ca="1" si="1"/>
        <v>-4.7843988066381751E-2</v>
      </c>
      <c r="L51" s="3">
        <f t="shared" ca="1" si="2"/>
        <v>5.0796236867041336E-2</v>
      </c>
    </row>
    <row r="52" spans="2:12" x14ac:dyDescent="0.2">
      <c r="B52" vm="171">
        <f ca="1"/>
        <v>45536</v>
      </c>
      <c r="C52" vm="718">
        <f ca="1"/>
        <v>165.35</v>
      </c>
      <c r="D52" vm="173">
        <f ca="1"/>
        <v>573.76</v>
      </c>
      <c r="E52" vm="174">
        <f ca="1"/>
        <v>100.79689999999999</v>
      </c>
      <c r="G52" s="3">
        <f t="shared" ca="1" si="0"/>
        <v>-3.2361891385767796E-2</v>
      </c>
      <c r="H52" s="3">
        <f t="shared" ca="1" si="0"/>
        <v>1.7882486517172939E-2</v>
      </c>
      <c r="I52" s="3">
        <f t="shared" ca="1" si="0"/>
        <v>1.081140166147198E-2</v>
      </c>
      <c r="K52" s="3">
        <f t="shared" ca="1" si="1"/>
        <v>-4.3173293047239776E-2</v>
      </c>
      <c r="L52" s="3">
        <f t="shared" ca="1" si="2"/>
        <v>7.0710848557009598E-3</v>
      </c>
    </row>
    <row r="53" spans="2:12" x14ac:dyDescent="0.2">
      <c r="B53" vm="175">
        <f ca="1"/>
        <v>45566</v>
      </c>
      <c r="C53" vm="719">
        <f ca="1"/>
        <v>175.92</v>
      </c>
      <c r="D53" vm="177">
        <f ca="1"/>
        <v>568.64</v>
      </c>
      <c r="E53" vm="178">
        <f ca="1"/>
        <v>96.718800000000002</v>
      </c>
      <c r="G53" s="3">
        <f t="shared" ca="1" si="0"/>
        <v>6.3925007559721761E-2</v>
      </c>
      <c r="H53" s="3">
        <f t="shared" ca="1" si="0"/>
        <v>-8.9235917456776427E-3</v>
      </c>
      <c r="I53" s="3">
        <f t="shared" ca="1" si="0"/>
        <v>-4.0458585531896241E-2</v>
      </c>
      <c r="K53" s="3">
        <f t="shared" ca="1" si="1"/>
        <v>0.104383593091618</v>
      </c>
      <c r="L53" s="3">
        <f t="shared" ca="1" si="2"/>
        <v>3.1534993786218601E-2</v>
      </c>
    </row>
    <row r="54" spans="2:12" x14ac:dyDescent="0.2">
      <c r="B54" vm="179">
        <f ca="1"/>
        <v>45597</v>
      </c>
      <c r="C54" vm="720">
        <f ca="1"/>
        <v>170.59</v>
      </c>
      <c r="D54" vm="181">
        <f ca="1"/>
        <v>602.54999999999995</v>
      </c>
      <c r="E54" vm="182">
        <f ca="1"/>
        <v>100.57810000000001</v>
      </c>
      <c r="G54" s="3">
        <f t="shared" ca="1" si="0"/>
        <v>-3.0297862664847571E-2</v>
      </c>
      <c r="H54" s="3">
        <f t="shared" ca="1" si="0"/>
        <v>5.9633511536297076E-2</v>
      </c>
      <c r="I54" s="3">
        <f t="shared" ca="1" si="0"/>
        <v>3.990227339462446E-2</v>
      </c>
      <c r="K54" s="3">
        <f t="shared" ca="1" si="1"/>
        <v>-7.0200136059472035E-2</v>
      </c>
      <c r="L54" s="3">
        <f t="shared" ca="1" si="2"/>
        <v>1.9731238141672616E-2</v>
      </c>
    </row>
    <row r="55" spans="2:12" x14ac:dyDescent="0.2">
      <c r="B55" vm="183">
        <f ca="1"/>
        <v>45627</v>
      </c>
      <c r="C55" vm="721">
        <f ca="1"/>
        <v>157.97</v>
      </c>
      <c r="D55" vm="185">
        <f ca="1"/>
        <v>586.08000000000004</v>
      </c>
      <c r="E55" vm="186">
        <f ca="1"/>
        <v>97.453100000000006</v>
      </c>
      <c r="G55" s="3">
        <f t="shared" ca="1" si="0"/>
        <v>-7.3978545049533995E-2</v>
      </c>
      <c r="H55" s="3">
        <f t="shared" ca="1" si="0"/>
        <v>-2.7333831217326222E-2</v>
      </c>
      <c r="I55" s="3">
        <f t="shared" ca="1" si="0"/>
        <v>-3.1070382120958737E-2</v>
      </c>
      <c r="K55" s="3">
        <f t="shared" ca="1" si="1"/>
        <v>-4.2908162928575258E-2</v>
      </c>
      <c r="L55" s="3">
        <f t="shared" ca="1" si="2"/>
        <v>3.7365509036325142E-3</v>
      </c>
    </row>
    <row r="56" spans="2:12" x14ac:dyDescent="0.2">
      <c r="B56" vm="187">
        <f ca="1"/>
        <v>45658</v>
      </c>
      <c r="C56" vm="722">
        <f ca="1"/>
        <v>153.22</v>
      </c>
      <c r="D56" vm="189">
        <f ca="1"/>
        <v>601.82000000000005</v>
      </c>
      <c r="E56" vm="30">
        <f ca="1"/>
        <v>97.703100000000006</v>
      </c>
      <c r="G56" s="3">
        <f t="shared" ca="1" si="0"/>
        <v>-3.006900044312211E-2</v>
      </c>
      <c r="H56" s="3">
        <f t="shared" ca="1" si="0"/>
        <v>2.6856401856401872E-2</v>
      </c>
      <c r="I56" s="3">
        <f t="shared" ca="1" si="0"/>
        <v>2.5653365567642281E-3</v>
      </c>
      <c r="K56" s="3">
        <f t="shared" ca="1" si="1"/>
        <v>-3.263433699988634E-2</v>
      </c>
      <c r="L56" s="3">
        <f t="shared" ca="1" si="2"/>
        <v>2.4291065299637642E-2</v>
      </c>
    </row>
    <row r="57" spans="2:12" x14ac:dyDescent="0.2">
      <c r="B57" vm="190">
        <f ca="1"/>
        <v>45689</v>
      </c>
      <c r="C57" vm="723">
        <f ca="1"/>
        <v>169.15</v>
      </c>
      <c r="D57" vm="192">
        <f ca="1"/>
        <v>594.17999999999995</v>
      </c>
      <c r="E57" vm="193">
        <f ca="1"/>
        <v>103.4063</v>
      </c>
      <c r="G57" s="3">
        <f t="shared" ca="1" si="0"/>
        <v>0.10396815037201414</v>
      </c>
      <c r="H57" s="3">
        <f t="shared" ca="1" si="0"/>
        <v>-1.2694825695390814E-2</v>
      </c>
      <c r="I57" s="3">
        <f t="shared" ca="1" si="0"/>
        <v>5.8372764016699524E-2</v>
      </c>
      <c r="K57" s="3">
        <f t="shared" ca="1" si="1"/>
        <v>4.5595386355314613E-2</v>
      </c>
      <c r="L57" s="3">
        <f t="shared" ca="1" si="2"/>
        <v>-7.1067589712090345E-2</v>
      </c>
    </row>
    <row r="58" spans="2:12" x14ac:dyDescent="0.2">
      <c r="B58" vm="194">
        <f ca="1"/>
        <v>45717</v>
      </c>
      <c r="C58" vm="724">
        <f ca="1"/>
        <v>179.22</v>
      </c>
      <c r="D58" vm="195">
        <f ca="1"/>
        <v>559.39</v>
      </c>
      <c r="E58" vm="196">
        <f ca="1"/>
        <v>103.32810000000001</v>
      </c>
      <c r="G58" s="3">
        <f t="shared" ca="1" si="0"/>
        <v>5.9532958912208056E-2</v>
      </c>
      <c r="H58" s="3">
        <f t="shared" ca="1" si="0"/>
        <v>-5.8551280756673006E-2</v>
      </c>
      <c r="I58" s="3">
        <f t="shared" ca="1" si="0"/>
        <v>-7.5624019039454446E-4</v>
      </c>
      <c r="K58" s="3">
        <f t="shared" ca="1" si="1"/>
        <v>6.0289199102602602E-2</v>
      </c>
      <c r="L58" s="3">
        <f t="shared" ca="1" si="2"/>
        <v>-5.7795040566278461E-2</v>
      </c>
    </row>
    <row r="59" spans="2:12" x14ac:dyDescent="0.2">
      <c r="B59" vm="197">
        <f ca="1"/>
        <v>45748</v>
      </c>
      <c r="C59" vm="725">
        <f ca="1"/>
        <v>149.66</v>
      </c>
      <c r="D59" vm="199">
        <f ca="1"/>
        <v>554.54</v>
      </c>
      <c r="E59" vm="200">
        <f ca="1"/>
        <v>103.5313</v>
      </c>
      <c r="G59" s="3">
        <f t="shared" ca="1" si="0"/>
        <v>-0.16493694900122755</v>
      </c>
      <c r="H59" s="3">
        <f t="shared" ca="1" si="0"/>
        <v>-8.6701585655804044E-3</v>
      </c>
      <c r="I59" s="3">
        <f t="shared" ca="1" si="0"/>
        <v>1.9665512092063571E-3</v>
      </c>
      <c r="K59" s="3">
        <f t="shared" ca="1" si="1"/>
        <v>-0.1669035002104339</v>
      </c>
      <c r="L59" s="3">
        <f t="shared" ca="1" si="2"/>
        <v>-1.0636709774786762E-2</v>
      </c>
    </row>
    <row r="60" spans="2:12" x14ac:dyDescent="0.2">
      <c r="B60" vm="201">
        <f ca="1"/>
        <v>45778</v>
      </c>
      <c r="C60" vm="726">
        <f ca="1"/>
        <v>170.42</v>
      </c>
      <c r="D60" vm="203">
        <f ca="1"/>
        <v>589.39</v>
      </c>
      <c r="E60" vm="204">
        <f ca="1"/>
        <v>98.8125</v>
      </c>
      <c r="G60" s="3">
        <f t="shared" ca="1" si="0"/>
        <v>0.13871441935052781</v>
      </c>
      <c r="H60" s="3">
        <f t="shared" ca="1" si="0"/>
        <v>6.284488044144701E-2</v>
      </c>
      <c r="I60" s="3">
        <f t="shared" ca="1" si="0"/>
        <v>-4.5578486892369763E-2</v>
      </c>
      <c r="K60" s="3">
        <f t="shared" ca="1" si="1"/>
        <v>0.18429290624289757</v>
      </c>
      <c r="L60" s="3">
        <f t="shared" ca="1" si="2"/>
        <v>0.10842336733381677</v>
      </c>
    </row>
    <row r="61" spans="2:12" x14ac:dyDescent="0.2">
      <c r="B61" vm="205">
        <f ca="1"/>
        <v>45809</v>
      </c>
      <c r="C61" vm="727">
        <f ca="1"/>
        <v>172.95</v>
      </c>
      <c r="D61" vm="207">
        <f ca="1"/>
        <v>617.85</v>
      </c>
      <c r="E61" vm="15">
        <f ca="1"/>
        <v>100.14060000000001</v>
      </c>
      <c r="G61" s="3">
        <f t="shared" ca="1" si="0"/>
        <v>1.4845675390212424E-2</v>
      </c>
      <c r="H61" s="3">
        <f t="shared" ca="1" si="0"/>
        <v>4.828721220244666E-2</v>
      </c>
      <c r="I61" s="3">
        <f t="shared" ca="1" si="0"/>
        <v>1.3440607210626249E-2</v>
      </c>
      <c r="K61" s="3">
        <f t="shared" ca="1" si="1"/>
        <v>1.4050681795861747E-3</v>
      </c>
      <c r="L61" s="3">
        <f t="shared" ca="1" si="2"/>
        <v>3.4846604991820407E-2</v>
      </c>
    </row>
    <row r="62" spans="2:12" x14ac:dyDescent="0.2">
      <c r="B62" vm="208">
        <f ca="1"/>
        <v>45839</v>
      </c>
      <c r="C62" vm="728">
        <f ca="1"/>
        <v>187.11</v>
      </c>
      <c r="D62" vm="210">
        <f ca="1"/>
        <v>632.08000000000004</v>
      </c>
      <c r="E62" vm="211">
        <f ca="1"/>
        <v>98.953100000000006</v>
      </c>
      <c r="G62" s="3">
        <f t="shared" ca="1" si="0"/>
        <v>8.1873373807458946E-2</v>
      </c>
      <c r="H62" s="3">
        <f t="shared" ca="1" si="0"/>
        <v>2.3031480132718326E-2</v>
      </c>
      <c r="I62" s="3">
        <f t="shared" ca="1" si="0"/>
        <v>-1.1858327191968093E-2</v>
      </c>
      <c r="K62" s="3">
        <f t="shared" ca="1" si="1"/>
        <v>9.3731700999427042E-2</v>
      </c>
      <c r="L62" s="3">
        <f t="shared" ca="1" si="2"/>
        <v>3.4889807324686418E-2</v>
      </c>
    </row>
    <row r="63" spans="2:12" x14ac:dyDescent="0.2">
      <c r="B63" vm="212">
        <f ca="1"/>
        <v>45870</v>
      </c>
      <c r="C63" vm="729">
        <f ca="1"/>
        <v>204.53</v>
      </c>
      <c r="D63" vm="214">
        <f ca="1"/>
        <v>645.04999999999995</v>
      </c>
      <c r="E63" vm="15">
        <f ca="1"/>
        <v>100.14060000000001</v>
      </c>
      <c r="G63" s="3">
        <f t="shared" ca="1" si="0"/>
        <v>9.3100315322537472E-2</v>
      </c>
      <c r="H63" s="3">
        <f t="shared" ca="1" si="0"/>
        <v>2.051955448677369E-2</v>
      </c>
      <c r="I63" s="3">
        <f t="shared" ca="1" si="0"/>
        <v>1.2000634644088966E-2</v>
      </c>
      <c r="K63" s="3">
        <f t="shared" ca="1" si="1"/>
        <v>8.1099680678448499E-2</v>
      </c>
      <c r="L63" s="3">
        <f t="shared" ca="1" si="2"/>
        <v>8.5189198426847239E-3</v>
      </c>
    </row>
    <row r="64" spans="2:12" x14ac:dyDescent="0.2">
      <c r="B64" vm="215">
        <f ca="1"/>
        <v>45901</v>
      </c>
      <c r="C64" vm="730">
        <f ca="1"/>
        <v>197.74</v>
      </c>
      <c r="D64" vm="217">
        <f ca="1"/>
        <v>666.18</v>
      </c>
      <c r="E64" vm="218">
        <f ca="1"/>
        <v>100.75</v>
      </c>
      <c r="G64" s="3">
        <f t="shared" ca="1" si="0"/>
        <v>-3.319806385371335E-2</v>
      </c>
      <c r="H64" s="3">
        <f t="shared" ca="1" si="0"/>
        <v>3.275715060847996E-2</v>
      </c>
      <c r="I64" s="3">
        <f t="shared" ca="1" si="0"/>
        <v>6.085443865924447E-3</v>
      </c>
      <c r="K64" s="3">
        <f t="shared" ca="1" si="1"/>
        <v>-3.9283507719637796E-2</v>
      </c>
      <c r="L64" s="3">
        <f t="shared" ca="1" si="2"/>
        <v>2.6671706742555513E-2</v>
      </c>
    </row>
    <row r="65" spans="2:12" x14ac:dyDescent="0.2">
      <c r="B65" vm="219">
        <f ca="1"/>
        <v>45931</v>
      </c>
      <c r="C65" vm="731">
        <f ca="1"/>
        <v>195.73</v>
      </c>
      <c r="D65" vm="221">
        <f ca="1"/>
        <v>682.06</v>
      </c>
      <c r="E65" vm="222">
        <f ca="1"/>
        <v>101.32810000000001</v>
      </c>
      <c r="G65" s="3">
        <f t="shared" ca="1" si="0"/>
        <v>-1.0164862951350355E-2</v>
      </c>
      <c r="H65" s="3">
        <f t="shared" ca="1" si="0"/>
        <v>2.3837401302951148E-2</v>
      </c>
      <c r="I65" s="3">
        <f t="shared" ca="1" si="0"/>
        <v>5.7379652605459679E-3</v>
      </c>
      <c r="K65" s="3">
        <f t="shared" ca="1" si="1"/>
        <v>-1.5902828211896321E-2</v>
      </c>
      <c r="L65" s="3">
        <f t="shared" ca="1" si="2"/>
        <v>1.809943604240518E-2</v>
      </c>
    </row>
    <row r="66" spans="2:12" x14ac:dyDescent="0.2">
      <c r="B66" vm="223">
        <f ca="1"/>
        <v>45962</v>
      </c>
      <c r="C66" vm="732">
        <f ca="1"/>
        <v>192.14</v>
      </c>
      <c r="D66" vm="225">
        <f ca="1"/>
        <v>683.39</v>
      </c>
      <c r="E66" vm="226">
        <f ca="1"/>
        <v>99.859399999999994</v>
      </c>
      <c r="G66" s="3">
        <f t="shared" ca="1" si="0"/>
        <v>-1.8341593010780175E-2</v>
      </c>
      <c r="H66" s="3">
        <f t="shared" ca="1" si="0"/>
        <v>1.9499750755066138E-3</v>
      </c>
      <c r="I66" s="3">
        <f t="shared" ca="1" si="0"/>
        <v>-1.4494498564564149E-2</v>
      </c>
      <c r="K66" s="3">
        <f t="shared" ca="1" si="1"/>
        <v>-3.8470944462160265E-3</v>
      </c>
      <c r="L66" s="3">
        <f t="shared" ca="1" si="2"/>
        <v>1.6444473640070761E-2</v>
      </c>
    </row>
    <row r="67" spans="2:12" x14ac:dyDescent="0.2">
      <c r="B67" vm="227">
        <f ca="1"/>
        <v>45992</v>
      </c>
      <c r="C67" vm="733">
        <f ca="1"/>
        <v>203.05</v>
      </c>
      <c r="D67" vm="229">
        <f ca="1"/>
        <v>681.92</v>
      </c>
      <c r="E67" vm="230">
        <f ca="1"/>
        <v>98.6875</v>
      </c>
      <c r="G67" s="3">
        <f t="shared" ca="1" si="0"/>
        <v>5.6781513479754478E-2</v>
      </c>
      <c r="H67" s="3">
        <f t="shared" ca="1" si="0"/>
        <v>-2.151041133174362E-3</v>
      </c>
      <c r="I67" s="3">
        <f t="shared" ca="1" si="0"/>
        <v>-1.1735500113159039E-2</v>
      </c>
      <c r="K67" s="3">
        <f t="shared" ca="1" si="1"/>
        <v>6.8517013592913512E-2</v>
      </c>
      <c r="L67" s="3">
        <f t="shared" ca="1" si="2"/>
        <v>9.5844589799846773E-3</v>
      </c>
    </row>
    <row r="68" spans="2:12" x14ac:dyDescent="0.2">
      <c r="B68" vm="231">
        <f ca="1"/>
        <v>46023</v>
      </c>
      <c r="C68" vm="734">
        <f ca="1"/>
        <v>212.38</v>
      </c>
      <c r="D68" vm="233">
        <f ca="1"/>
        <v>691.97</v>
      </c>
      <c r="E68" vm="234">
        <f ca="1"/>
        <v>98.078100000000006</v>
      </c>
      <c r="G68" s="3">
        <f t="shared" ca="1" si="0"/>
        <v>4.5949273577936385E-2</v>
      </c>
      <c r="H68" s="3">
        <f t="shared" ca="1" si="0"/>
        <v>1.4737799155326239E-2</v>
      </c>
      <c r="I68" s="3">
        <f t="shared" ca="1" si="0"/>
        <v>-6.1750474984166555E-3</v>
      </c>
      <c r="K68" s="3">
        <f t="shared" ca="1" si="1"/>
        <v>5.2124321076353043E-2</v>
      </c>
      <c r="L68" s="3">
        <f t="shared" ca="1" si="2"/>
        <v>2.0912846653742895E-2</v>
      </c>
    </row>
    <row r="69" spans="2:12" x14ac:dyDescent="0.2">
      <c r="B69" vm="235">
        <f ca="1"/>
        <v>46054</v>
      </c>
      <c r="C69" vm="735">
        <f ca="1"/>
        <v>251.02</v>
      </c>
      <c r="D69" vm="237">
        <f ca="1"/>
        <v>685.99</v>
      </c>
      <c r="E69" vm="238">
        <f ca="1"/>
        <v>101.4375</v>
      </c>
      <c r="G69" s="3">
        <f t="shared" ca="1" si="0"/>
        <v>0.18193803559657226</v>
      </c>
      <c r="H69" s="3">
        <f t="shared" ca="1" si="0"/>
        <v>-8.6419931499920784E-3</v>
      </c>
      <c r="I69" s="3">
        <f t="shared" ca="1" si="0"/>
        <v>3.4252294854814617E-2</v>
      </c>
      <c r="K69" s="3">
        <f t="shared" ca="1" si="1"/>
        <v>0.14768574074175764</v>
      </c>
      <c r="L69" s="3">
        <f t="shared" ca="1" si="2"/>
        <v>-4.2894288004806699E-2</v>
      </c>
    </row>
    <row r="70" spans="2:12" x14ac:dyDescent="0.2">
      <c r="B70" vm="239">
        <f ca="1"/>
        <v>46082</v>
      </c>
      <c r="C70" vm="736">
        <f ca="1"/>
        <v>233.61</v>
      </c>
      <c r="D70" vm="241">
        <f ca="1"/>
        <v>662.29</v>
      </c>
      <c r="E70" vm="242">
        <f ca="1"/>
        <v>98.734399999999994</v>
      </c>
      <c r="G70" s="3">
        <f t="shared" ca="1" si="0"/>
        <v>-6.9357023344753396E-2</v>
      </c>
      <c r="H70" s="3">
        <f t="shared" ca="1" si="0"/>
        <v>-3.4548608580300073E-2</v>
      </c>
      <c r="I70" s="3">
        <f t="shared" ca="1" si="0"/>
        <v>-2.6647935921133764E-2</v>
      </c>
      <c r="K70" s="3">
        <f t="shared" ca="1" si="1"/>
        <v>-4.2709087423619632E-2</v>
      </c>
      <c r="L70" s="3">
        <f t="shared" ca="1" si="2"/>
        <v>-7.9006726591663093E-3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47FA3-5CAF-44F5-8DBD-AF208D3EAFCF}">
  <dimension ref="B2:L70"/>
  <sheetViews>
    <sheetView workbookViewId="0">
      <selection activeCell="H3" sqref="H3"/>
    </sheetView>
  </sheetViews>
  <sheetFormatPr baseColWidth="10" defaultColWidth="8.83203125" defaultRowHeight="15" x14ac:dyDescent="0.2"/>
  <cols>
    <col min="2" max="2" width="10.83203125" bestFit="1" customWidth="1"/>
    <col min="3" max="3" width="10.83203125" customWidth="1"/>
    <col min="4" max="4" width="12" bestFit="1" customWidth="1"/>
    <col min="5" max="5" width="10.5" bestFit="1" customWidth="1"/>
    <col min="11" max="11" width="10.5" customWidth="1"/>
  </cols>
  <sheetData>
    <row r="2" spans="2:12" x14ac:dyDescent="0.2">
      <c r="B2" t="e" vm="737">
        <v>#VALUE!</v>
      </c>
      <c r="G2" s="7" t="s">
        <v>238</v>
      </c>
      <c r="H2" s="7">
        <f ca="1">INDEX(LINEST(K11:K70,L11:L70,1,1),1,1)</f>
        <v>0.57969019671195476</v>
      </c>
    </row>
    <row r="3" spans="2:12" x14ac:dyDescent="0.2">
      <c r="B3" t="e" vm="3">
        <v>#VALUE!</v>
      </c>
      <c r="G3" s="7" t="s">
        <v>239</v>
      </c>
      <c r="H3" s="61">
        <f ca="1">INDEX(LINEST(K11:K70,L11:L70,1,1),2,1)</f>
        <v>0.40154849248273483</v>
      </c>
    </row>
    <row r="4" spans="2:12" x14ac:dyDescent="0.2">
      <c r="B4" t="e" vm="1">
        <v>#VALUE!</v>
      </c>
    </row>
    <row r="6" spans="2:12" x14ac:dyDescent="0.2">
      <c r="B6" s="50">
        <v>44256</v>
      </c>
      <c r="C6" s="50"/>
    </row>
    <row r="7" spans="2:12" x14ac:dyDescent="0.2">
      <c r="B7" s="50">
        <v>46082</v>
      </c>
      <c r="C7" s="50"/>
    </row>
    <row r="9" spans="2:12" x14ac:dyDescent="0.2">
      <c r="C9" t="s">
        <v>240</v>
      </c>
      <c r="D9" t="s">
        <v>241</v>
      </c>
      <c r="E9" t="s">
        <v>242</v>
      </c>
    </row>
    <row r="10" spans="2:12" x14ac:dyDescent="0.2">
      <c r="B10" cm="1" vm="4">
        <f t="array" aca="1" ref="B10:C70" ca="1">_xlfn.STOCKHISTORY(B2,$B$6,$B$7,2,0)</f>
        <v>44256</v>
      </c>
      <c r="C10" vm="738">
        <f ca="1"/>
        <v>18.399999999999999</v>
      </c>
      <c r="D10" cm="1" vm="6">
        <f t="array" aca="1" ref="D10:D70" ca="1">_xlfn.STOCKHISTORY(B3,$B$6,$B$7,2,0,1)</f>
        <v>396.33</v>
      </c>
      <c r="E10" cm="1" vm="7">
        <f t="array" aca="1" ref="E10:E70" ca="1">_xlfn.STOCKHISTORY(B4,$B$6,$B$7,2,0,1)</f>
        <v>94.484399999999994</v>
      </c>
      <c r="G10" t="s">
        <v>243</v>
      </c>
      <c r="H10" t="s">
        <v>244</v>
      </c>
      <c r="I10" t="s">
        <v>245</v>
      </c>
      <c r="K10" t="s">
        <v>246</v>
      </c>
      <c r="L10" t="s">
        <v>247</v>
      </c>
    </row>
    <row r="11" spans="2:12" x14ac:dyDescent="0.2">
      <c r="B11" vm="8">
        <f ca="1"/>
        <v>44287</v>
      </c>
      <c r="C11" vm="739">
        <f ca="1"/>
        <v>20.32</v>
      </c>
      <c r="D11" vm="10">
        <f ca="1"/>
        <v>417.3</v>
      </c>
      <c r="E11" vm="11">
        <f ca="1"/>
        <v>95.484399999999994</v>
      </c>
      <c r="G11" s="3">
        <f ca="1">(C11-C10)/C10</f>
        <v>0.10434782608695663</v>
      </c>
      <c r="H11" s="3">
        <f ca="1">(D11-D10)/D10</f>
        <v>5.291045341003716E-2</v>
      </c>
      <c r="I11" s="3">
        <f ca="1">(E11-E10)/E10</f>
        <v>1.0583757742018789E-2</v>
      </c>
      <c r="K11" s="3">
        <f ca="1">G11-I11</f>
        <v>9.3764068344937834E-2</v>
      </c>
      <c r="L11" s="3">
        <f ca="1">H11-I11</f>
        <v>4.2326695668018374E-2</v>
      </c>
    </row>
    <row r="12" spans="2:12" x14ac:dyDescent="0.2">
      <c r="B12" vm="12">
        <f ca="1"/>
        <v>44317</v>
      </c>
      <c r="C12" vm="740">
        <f ca="1"/>
        <v>23.26</v>
      </c>
      <c r="D12" vm="14">
        <f ca="1"/>
        <v>420.04</v>
      </c>
      <c r="E12" vm="15">
        <f ca="1"/>
        <v>100.14060000000001</v>
      </c>
      <c r="G12" s="3">
        <f t="shared" ref="G12:I70" ca="1" si="0">(C12-C11)/C11</f>
        <v>0.14468503937007879</v>
      </c>
      <c r="H12" s="3">
        <f t="shared" ca="1" si="0"/>
        <v>6.566019650131821E-3</v>
      </c>
      <c r="I12" s="3">
        <f t="shared" ca="1" si="0"/>
        <v>4.8763986577912338E-2</v>
      </c>
      <c r="K12" s="3">
        <f t="shared" ref="K12:K70" ca="1" si="1">G12-I12</f>
        <v>9.592105279216645E-2</v>
      </c>
      <c r="L12" s="3">
        <f t="shared" ref="L12:L70" ca="1" si="2">H12-I12</f>
        <v>-4.2197966927780516E-2</v>
      </c>
    </row>
    <row r="13" spans="2:12" x14ac:dyDescent="0.2">
      <c r="B13" vm="16">
        <f ca="1"/>
        <v>44348</v>
      </c>
      <c r="C13" vm="741">
        <f ca="1"/>
        <v>23.4</v>
      </c>
      <c r="D13" vm="18">
        <f ca="1"/>
        <v>428.06</v>
      </c>
      <c r="E13" vm="19">
        <f ca="1"/>
        <v>101.4063</v>
      </c>
      <c r="G13" s="3">
        <f t="shared" ca="1" si="0"/>
        <v>6.0189165950127691E-3</v>
      </c>
      <c r="H13" s="3">
        <f t="shared" ca="1" si="0"/>
        <v>1.9093419674316686E-2</v>
      </c>
      <c r="I13" s="3">
        <f t="shared" ca="1" si="0"/>
        <v>1.2639229243683334E-2</v>
      </c>
      <c r="K13" s="3">
        <f t="shared" ca="1" si="1"/>
        <v>-6.6203126486705649E-3</v>
      </c>
      <c r="L13" s="3">
        <f t="shared" ca="1" si="2"/>
        <v>6.4541904306333522E-3</v>
      </c>
    </row>
    <row r="14" spans="2:12" x14ac:dyDescent="0.2">
      <c r="B14" vm="20">
        <f ca="1"/>
        <v>44378</v>
      </c>
      <c r="C14" vm="742">
        <f ca="1"/>
        <v>22.17</v>
      </c>
      <c r="D14" vm="22">
        <f ca="1"/>
        <v>438.51</v>
      </c>
      <c r="E14" vm="23">
        <f ca="1"/>
        <v>103.67189999999999</v>
      </c>
      <c r="G14" s="3">
        <f t="shared" ca="1" si="0"/>
        <v>-5.2564102564102433E-2</v>
      </c>
      <c r="H14" s="3">
        <f t="shared" ca="1" si="0"/>
        <v>2.4412465542213681E-2</v>
      </c>
      <c r="I14" s="3">
        <f t="shared" ca="1" si="0"/>
        <v>2.2341807165826896E-2</v>
      </c>
      <c r="K14" s="3">
        <f t="shared" ca="1" si="1"/>
        <v>-7.4905909729929332E-2</v>
      </c>
      <c r="L14" s="3">
        <f t="shared" ca="1" si="2"/>
        <v>2.0706583763867858E-3</v>
      </c>
    </row>
    <row r="15" spans="2:12" x14ac:dyDescent="0.2">
      <c r="B15" vm="24">
        <f ca="1"/>
        <v>44409</v>
      </c>
      <c r="C15" vm="743">
        <f ca="1"/>
        <v>22.74</v>
      </c>
      <c r="D15" vm="25">
        <f ca="1"/>
        <v>451.56</v>
      </c>
      <c r="E15" vm="26">
        <f ca="1"/>
        <v>99.406300000000002</v>
      </c>
      <c r="G15" s="3">
        <f t="shared" ca="1" si="0"/>
        <v>2.5710419485791461E-2</v>
      </c>
      <c r="H15" s="3">
        <f t="shared" ca="1" si="0"/>
        <v>2.9759868646097035E-2</v>
      </c>
      <c r="I15" s="3">
        <f t="shared" ca="1" si="0"/>
        <v>-4.1145189776593198E-2</v>
      </c>
      <c r="K15" s="3">
        <f t="shared" ca="1" si="1"/>
        <v>6.6855609262384652E-2</v>
      </c>
      <c r="L15" s="3">
        <f t="shared" ca="1" si="2"/>
        <v>7.0905058422690237E-2</v>
      </c>
    </row>
    <row r="16" spans="2:12" x14ac:dyDescent="0.2">
      <c r="B16" vm="27">
        <f ca="1"/>
        <v>44440</v>
      </c>
      <c r="C16" vm="744">
        <f ca="1"/>
        <v>22.82</v>
      </c>
      <c r="D16" vm="29">
        <f ca="1"/>
        <v>429.14</v>
      </c>
      <c r="E16" vm="30">
        <f ca="1"/>
        <v>97.703100000000006</v>
      </c>
      <c r="G16" s="3">
        <f t="shared" ca="1" si="0"/>
        <v>3.5180299032542594E-3</v>
      </c>
      <c r="H16" s="3">
        <f t="shared" ca="1" si="0"/>
        <v>-4.9650101869076126E-2</v>
      </c>
      <c r="I16" s="3">
        <f t="shared" ca="1" si="0"/>
        <v>-1.7133722912934041E-2</v>
      </c>
      <c r="K16" s="3">
        <f t="shared" ca="1" si="1"/>
        <v>2.06517528161883E-2</v>
      </c>
      <c r="L16" s="3">
        <f t="shared" ca="1" si="2"/>
        <v>-3.2516378956142081E-2</v>
      </c>
    </row>
    <row r="17" spans="2:12" x14ac:dyDescent="0.2">
      <c r="B17" vm="31">
        <f ca="1"/>
        <v>44470</v>
      </c>
      <c r="C17" vm="745">
        <f ca="1"/>
        <v>23.44</v>
      </c>
      <c r="D17" vm="33">
        <f ca="1"/>
        <v>459.25</v>
      </c>
      <c r="E17" vm="34">
        <f ca="1"/>
        <v>97.078100000000006</v>
      </c>
      <c r="G17" s="3">
        <f t="shared" ca="1" si="0"/>
        <v>2.7169149868536416E-2</v>
      </c>
      <c r="H17" s="3">
        <f t="shared" ca="1" si="0"/>
        <v>7.0163582979913347E-2</v>
      </c>
      <c r="I17" s="3">
        <f t="shared" ca="1" si="0"/>
        <v>-6.3969311106812365E-3</v>
      </c>
      <c r="K17" s="3">
        <f t="shared" ca="1" si="1"/>
        <v>3.356608097921765E-2</v>
      </c>
      <c r="L17" s="3">
        <f t="shared" ca="1" si="2"/>
        <v>7.6560514090594584E-2</v>
      </c>
    </row>
    <row r="18" spans="2:12" x14ac:dyDescent="0.2">
      <c r="B18" vm="35">
        <f ca="1"/>
        <v>44501</v>
      </c>
      <c r="C18" vm="746">
        <f ca="1"/>
        <v>20.62</v>
      </c>
      <c r="D18" vm="37">
        <f ca="1"/>
        <v>455.56</v>
      </c>
      <c r="E18" vm="38">
        <f ca="1"/>
        <v>98.656300000000002</v>
      </c>
      <c r="G18" s="3">
        <f t="shared" ca="1" si="0"/>
        <v>-0.12030716723549488</v>
      </c>
      <c r="H18" s="3">
        <f t="shared" ca="1" si="0"/>
        <v>-8.0348394120849168E-3</v>
      </c>
      <c r="I18" s="3">
        <f t="shared" ca="1" si="0"/>
        <v>1.6257013682797618E-2</v>
      </c>
      <c r="K18" s="3">
        <f t="shared" ca="1" si="1"/>
        <v>-0.1365641809182925</v>
      </c>
      <c r="L18" s="3">
        <f t="shared" ca="1" si="2"/>
        <v>-2.4291853094882535E-2</v>
      </c>
    </row>
    <row r="19" spans="2:12" x14ac:dyDescent="0.2">
      <c r="B19" vm="39">
        <f ca="1"/>
        <v>44531</v>
      </c>
      <c r="C19" vm="747">
        <f ca="1"/>
        <v>20.16</v>
      </c>
      <c r="D19" vm="41">
        <f ca="1"/>
        <v>474.96</v>
      </c>
      <c r="E19" vm="42">
        <f ca="1"/>
        <v>98.75</v>
      </c>
      <c r="G19" s="3">
        <f t="shared" ca="1" si="0"/>
        <v>-2.2308438409311387E-2</v>
      </c>
      <c r="H19" s="3">
        <f t="shared" ca="1" si="0"/>
        <v>4.2584950390727842E-2</v>
      </c>
      <c r="I19" s="3">
        <f t="shared" ca="1" si="0"/>
        <v>9.4976195134014081E-4</v>
      </c>
      <c r="K19" s="3">
        <f t="shared" ca="1" si="1"/>
        <v>-2.3258200360651529E-2</v>
      </c>
      <c r="L19" s="3">
        <f t="shared" ca="1" si="2"/>
        <v>4.1635188439387703E-2</v>
      </c>
    </row>
    <row r="20" spans="2:12" x14ac:dyDescent="0.2">
      <c r="B20" vm="43">
        <f ca="1"/>
        <v>44562</v>
      </c>
      <c r="C20" vm="748">
        <f ca="1"/>
        <v>20.85</v>
      </c>
      <c r="D20" vm="45">
        <f ca="1"/>
        <v>449.91</v>
      </c>
      <c r="E20" vm="46">
        <f ca="1"/>
        <v>96.296899999999994</v>
      </c>
      <c r="G20" s="3">
        <f t="shared" ca="1" si="0"/>
        <v>3.4226190476190542E-2</v>
      </c>
      <c r="H20" s="3">
        <f t="shared" ca="1" si="0"/>
        <v>-5.2741283476503191E-2</v>
      </c>
      <c r="I20" s="3">
        <f t="shared" ca="1" si="0"/>
        <v>-2.4841518987341837E-2</v>
      </c>
      <c r="K20" s="3">
        <f t="shared" ca="1" si="1"/>
        <v>5.9067709463532375E-2</v>
      </c>
      <c r="L20" s="3">
        <f t="shared" ca="1" si="2"/>
        <v>-2.7899764489161354E-2</v>
      </c>
    </row>
    <row r="21" spans="2:12" x14ac:dyDescent="0.2">
      <c r="B21" vm="47">
        <f ca="1"/>
        <v>44593</v>
      </c>
      <c r="C21" vm="749">
        <f ca="1"/>
        <v>23.43</v>
      </c>
      <c r="D21" vm="49">
        <f ca="1"/>
        <v>436.63</v>
      </c>
      <c r="E21" vm="50">
        <f ca="1"/>
        <v>99.75</v>
      </c>
      <c r="G21" s="3">
        <f t="shared" ca="1" si="0"/>
        <v>0.12374100719424451</v>
      </c>
      <c r="H21" s="3">
        <f t="shared" ca="1" si="0"/>
        <v>-2.9517014514013978E-2</v>
      </c>
      <c r="I21" s="3">
        <f t="shared" ca="1" si="0"/>
        <v>3.5858890576955293E-2</v>
      </c>
      <c r="K21" s="3">
        <f t="shared" ca="1" si="1"/>
        <v>8.7882116617289216E-2</v>
      </c>
      <c r="L21" s="3">
        <f t="shared" ca="1" si="2"/>
        <v>-6.5375905090969272E-2</v>
      </c>
    </row>
    <row r="22" spans="2:12" x14ac:dyDescent="0.2">
      <c r="B22" vm="51">
        <f ca="1"/>
        <v>44621</v>
      </c>
      <c r="C22" vm="750">
        <f ca="1"/>
        <v>22.07</v>
      </c>
      <c r="D22" vm="53">
        <f ca="1"/>
        <v>451.64</v>
      </c>
      <c r="E22" vm="54">
        <f ca="1"/>
        <v>95.8125</v>
      </c>
      <c r="G22" s="3">
        <f t="shared" ca="1" si="0"/>
        <v>-5.8045241143832672E-2</v>
      </c>
      <c r="H22" s="3">
        <f t="shared" ca="1" si="0"/>
        <v>3.4376932414172161E-2</v>
      </c>
      <c r="I22" s="3">
        <f t="shared" ca="1" si="0"/>
        <v>-3.9473684210526314E-2</v>
      </c>
      <c r="K22" s="3">
        <f t="shared" ca="1" si="1"/>
        <v>-1.8571556933306359E-2</v>
      </c>
      <c r="L22" s="3">
        <f t="shared" ca="1" si="2"/>
        <v>7.3850616624698467E-2</v>
      </c>
    </row>
    <row r="23" spans="2:12" x14ac:dyDescent="0.2">
      <c r="B23" vm="55">
        <f ca="1"/>
        <v>44652</v>
      </c>
      <c r="C23" vm="751">
        <f ca="1"/>
        <v>18.52</v>
      </c>
      <c r="D23" vm="57">
        <f ca="1"/>
        <v>412</v>
      </c>
      <c r="E23" vm="58">
        <f ca="1"/>
        <v>91.015600000000006</v>
      </c>
      <c r="G23" s="3">
        <f t="shared" ca="1" si="0"/>
        <v>-0.16085183507023113</v>
      </c>
      <c r="H23" s="3">
        <f t="shared" ca="1" si="0"/>
        <v>-8.7769019573111298E-2</v>
      </c>
      <c r="I23" s="3">
        <f t="shared" ca="1" si="0"/>
        <v>-5.0065492498369148E-2</v>
      </c>
      <c r="K23" s="3">
        <f t="shared" ca="1" si="1"/>
        <v>-0.11078634257186198</v>
      </c>
      <c r="L23" s="3">
        <f t="shared" ca="1" si="2"/>
        <v>-3.7703527074742151E-2</v>
      </c>
    </row>
    <row r="24" spans="2:12" x14ac:dyDescent="0.2">
      <c r="B24" vm="59">
        <f ca="1"/>
        <v>44682</v>
      </c>
      <c r="C24" vm="28">
        <f ca="1"/>
        <v>19.72</v>
      </c>
      <c r="D24" vm="61">
        <f ca="1"/>
        <v>412.93</v>
      </c>
      <c r="E24" vm="62">
        <f ca="1"/>
        <v>100.0938</v>
      </c>
      <c r="G24" s="3">
        <f t="shared" ca="1" si="0"/>
        <v>6.479481641468679E-2</v>
      </c>
      <c r="H24" s="3">
        <f t="shared" ca="1" si="0"/>
        <v>2.2572815533980746E-3</v>
      </c>
      <c r="I24" s="3">
        <f t="shared" ca="1" si="0"/>
        <v>9.9743340702033445E-2</v>
      </c>
      <c r="K24" s="3">
        <f t="shared" ca="1" si="1"/>
        <v>-3.4948524287346655E-2</v>
      </c>
      <c r="L24" s="3">
        <f t="shared" ca="1" si="2"/>
        <v>-9.7486059148635368E-2</v>
      </c>
    </row>
    <row r="25" spans="2:12" x14ac:dyDescent="0.2">
      <c r="B25" vm="63">
        <f ca="1"/>
        <v>44713</v>
      </c>
      <c r="C25" vm="752">
        <f ca="1"/>
        <v>16.89</v>
      </c>
      <c r="D25" vm="65">
        <f ca="1"/>
        <v>377.25</v>
      </c>
      <c r="E25" vm="66">
        <f ca="1"/>
        <v>98.796899999999994</v>
      </c>
      <c r="G25" s="3">
        <f t="shared" ca="1" si="0"/>
        <v>-0.14350912778904656</v>
      </c>
      <c r="H25" s="3">
        <f t="shared" ca="1" si="0"/>
        <v>-8.6406897052769244E-2</v>
      </c>
      <c r="I25" s="3">
        <f t="shared" ca="1" si="0"/>
        <v>-1.2956846478003712E-2</v>
      </c>
      <c r="K25" s="3">
        <f t="shared" ca="1" si="1"/>
        <v>-0.13055228131104285</v>
      </c>
      <c r="L25" s="3">
        <f t="shared" ca="1" si="2"/>
        <v>-7.345005057476553E-2</v>
      </c>
    </row>
    <row r="26" spans="2:12" x14ac:dyDescent="0.2">
      <c r="B26" vm="67">
        <f ca="1"/>
        <v>44743</v>
      </c>
      <c r="C26" vm="753">
        <f ca="1"/>
        <v>18.57</v>
      </c>
      <c r="D26" vm="69">
        <f ca="1"/>
        <v>411.99</v>
      </c>
      <c r="E26" vm="70">
        <f ca="1"/>
        <v>101.7813</v>
      </c>
      <c r="G26" s="3">
        <f t="shared" ca="1" si="0"/>
        <v>9.9467140319715791E-2</v>
      </c>
      <c r="H26" s="3">
        <f t="shared" ca="1" si="0"/>
        <v>9.2087475149105397E-2</v>
      </c>
      <c r="I26" s="3">
        <f t="shared" ca="1" si="0"/>
        <v>3.0207425536631291E-2</v>
      </c>
      <c r="K26" s="3">
        <f t="shared" ca="1" si="1"/>
        <v>6.92597147830845E-2</v>
      </c>
      <c r="L26" s="3">
        <f t="shared" ca="1" si="2"/>
        <v>6.1880049612474106E-2</v>
      </c>
    </row>
    <row r="27" spans="2:12" x14ac:dyDescent="0.2">
      <c r="B27" vm="71">
        <f ca="1"/>
        <v>44774</v>
      </c>
      <c r="C27" vm="754">
        <f ca="1"/>
        <v>19.100000000000001</v>
      </c>
      <c r="D27" vm="73">
        <f ca="1"/>
        <v>395.18</v>
      </c>
      <c r="E27" vm="74">
        <f ca="1"/>
        <v>96.234399999999994</v>
      </c>
      <c r="G27" s="3">
        <f t="shared" ca="1" si="0"/>
        <v>2.8540656973613417E-2</v>
      </c>
      <c r="H27" s="3">
        <f t="shared" ca="1" si="0"/>
        <v>-4.0801961212650797E-2</v>
      </c>
      <c r="I27" s="3">
        <f t="shared" ca="1" si="0"/>
        <v>-5.4498223151011119E-2</v>
      </c>
      <c r="K27" s="3">
        <f t="shared" ca="1" si="1"/>
        <v>8.3038880124624542E-2</v>
      </c>
      <c r="L27" s="3">
        <f t="shared" ca="1" si="2"/>
        <v>1.3696261938360321E-2</v>
      </c>
    </row>
    <row r="28" spans="2:12" x14ac:dyDescent="0.2">
      <c r="B28" vm="75">
        <f ca="1"/>
        <v>44805</v>
      </c>
      <c r="C28" vm="755">
        <f ca="1"/>
        <v>14.32</v>
      </c>
      <c r="D28" vm="77">
        <f ca="1"/>
        <v>357.18</v>
      </c>
      <c r="E28" vm="78">
        <f ca="1"/>
        <v>91.203100000000006</v>
      </c>
      <c r="G28" s="3">
        <f t="shared" ca="1" si="0"/>
        <v>-0.25026178010471206</v>
      </c>
      <c r="H28" s="3">
        <f t="shared" ca="1" si="0"/>
        <v>-9.615871248544966E-2</v>
      </c>
      <c r="I28" s="3">
        <f t="shared" ca="1" si="0"/>
        <v>-5.2281720465862394E-2</v>
      </c>
      <c r="K28" s="3">
        <f t="shared" ca="1" si="1"/>
        <v>-0.19798005963884968</v>
      </c>
      <c r="L28" s="3">
        <f t="shared" ca="1" si="2"/>
        <v>-4.3876992019587266E-2</v>
      </c>
    </row>
    <row r="29" spans="2:12" x14ac:dyDescent="0.2">
      <c r="B29" vm="79">
        <f ca="1"/>
        <v>44835</v>
      </c>
      <c r="C29" vm="756">
        <f ca="1"/>
        <v>14.15</v>
      </c>
      <c r="D29" vm="81">
        <f ca="1"/>
        <v>386.21</v>
      </c>
      <c r="E29" vm="82">
        <f ca="1"/>
        <v>89.531300000000002</v>
      </c>
      <c r="G29" s="3">
        <f t="shared" ca="1" si="0"/>
        <v>-1.1871508379888263E-2</v>
      </c>
      <c r="H29" s="3">
        <f t="shared" ca="1" si="0"/>
        <v>8.1275547343076238E-2</v>
      </c>
      <c r="I29" s="3">
        <f t="shared" ca="1" si="0"/>
        <v>-1.8330517274083934E-2</v>
      </c>
      <c r="K29" s="3">
        <f t="shared" ca="1" si="1"/>
        <v>6.4590088941956711E-3</v>
      </c>
      <c r="L29" s="3">
        <f t="shared" ca="1" si="2"/>
        <v>9.9606064617160178E-2</v>
      </c>
    </row>
    <row r="30" spans="2:12" x14ac:dyDescent="0.2">
      <c r="B30" vm="83">
        <f ca="1"/>
        <v>44866</v>
      </c>
      <c r="C30" vm="757">
        <f ca="1"/>
        <v>11.7</v>
      </c>
      <c r="D30" vm="85">
        <f ca="1"/>
        <v>407.68</v>
      </c>
      <c r="E30" vm="86">
        <f ca="1"/>
        <v>103.1875</v>
      </c>
      <c r="G30" s="3">
        <f t="shared" ca="1" si="0"/>
        <v>-0.1731448763250884</v>
      </c>
      <c r="H30" s="3">
        <f t="shared" ca="1" si="0"/>
        <v>5.5591517568162475E-2</v>
      </c>
      <c r="I30" s="3">
        <f t="shared" ca="1" si="0"/>
        <v>0.15252989736550232</v>
      </c>
      <c r="K30" s="3">
        <f t="shared" ca="1" si="1"/>
        <v>-0.32567477369059072</v>
      </c>
      <c r="L30" s="3">
        <f t="shared" ca="1" si="2"/>
        <v>-9.6938379797339852E-2</v>
      </c>
    </row>
    <row r="31" spans="2:12" x14ac:dyDescent="0.2">
      <c r="B31" vm="87">
        <f ca="1"/>
        <v>44896</v>
      </c>
      <c r="C31" vm="758">
        <f ca="1"/>
        <v>11.19</v>
      </c>
      <c r="D31" vm="89">
        <f ca="1"/>
        <v>382.43</v>
      </c>
      <c r="E31" vm="90">
        <f ca="1"/>
        <v>102</v>
      </c>
      <c r="G31" s="3">
        <f t="shared" ca="1" si="0"/>
        <v>-4.3589743589743574E-2</v>
      </c>
      <c r="H31" s="3">
        <f t="shared" ca="1" si="0"/>
        <v>-6.1935832025117737E-2</v>
      </c>
      <c r="I31" s="3">
        <f t="shared" ca="1" si="0"/>
        <v>-1.1508176862507571E-2</v>
      </c>
      <c r="K31" s="3">
        <f t="shared" ca="1" si="1"/>
        <v>-3.2081566727235999E-2</v>
      </c>
      <c r="L31" s="3">
        <f t="shared" ca="1" si="2"/>
        <v>-5.0427655162610163E-2</v>
      </c>
    </row>
    <row r="32" spans="2:12" x14ac:dyDescent="0.2">
      <c r="B32" vm="91">
        <f ca="1"/>
        <v>44927</v>
      </c>
      <c r="C32" vm="759">
        <f ca="1"/>
        <v>12.96</v>
      </c>
      <c r="D32" vm="93">
        <f ca="1"/>
        <v>406.48</v>
      </c>
      <c r="E32" vm="94">
        <f ca="1"/>
        <v>104.8438</v>
      </c>
      <c r="G32" s="3">
        <f t="shared" ca="1" si="0"/>
        <v>0.15817694369973204</v>
      </c>
      <c r="H32" s="3">
        <f t="shared" ca="1" si="0"/>
        <v>6.2887325785111026E-2</v>
      </c>
      <c r="I32" s="3">
        <f t="shared" ca="1" si="0"/>
        <v>2.7880392156862763E-2</v>
      </c>
      <c r="K32" s="3">
        <f t="shared" ca="1" si="1"/>
        <v>0.13029655154286929</v>
      </c>
      <c r="L32" s="3">
        <f t="shared" ca="1" si="2"/>
        <v>3.5006933628248263E-2</v>
      </c>
    </row>
    <row r="33" spans="2:12" x14ac:dyDescent="0.2">
      <c r="B33" vm="95">
        <f ca="1"/>
        <v>44958</v>
      </c>
      <c r="C33" vm="757">
        <f ca="1"/>
        <v>11.7</v>
      </c>
      <c r="D33" vm="97">
        <f ca="1"/>
        <v>396.26</v>
      </c>
      <c r="E33" vm="98">
        <f ca="1"/>
        <v>96.531300000000002</v>
      </c>
      <c r="G33" s="3">
        <f t="shared" ca="1" si="0"/>
        <v>-9.7222222222222335E-2</v>
      </c>
      <c r="H33" s="3">
        <f t="shared" ca="1" si="0"/>
        <v>-2.5142688447156138E-2</v>
      </c>
      <c r="I33" s="3">
        <f t="shared" ca="1" si="0"/>
        <v>-7.9284611965609791E-2</v>
      </c>
      <c r="K33" s="3">
        <f t="shared" ca="1" si="1"/>
        <v>-1.7937610256612543E-2</v>
      </c>
      <c r="L33" s="3">
        <f t="shared" ca="1" si="2"/>
        <v>5.414192351845365E-2</v>
      </c>
    </row>
    <row r="34" spans="2:12" x14ac:dyDescent="0.2">
      <c r="B34" vm="99">
        <f ca="1"/>
        <v>44986</v>
      </c>
      <c r="C34" vm="760">
        <f ca="1"/>
        <v>8.7200000000000006</v>
      </c>
      <c r="D34" vm="101">
        <f ca="1"/>
        <v>409.39</v>
      </c>
      <c r="E34" vm="102">
        <f ca="1"/>
        <v>100.2188</v>
      </c>
      <c r="G34" s="3">
        <f t="shared" ca="1" si="0"/>
        <v>-0.25470085470085463</v>
      </c>
      <c r="H34" s="3">
        <f t="shared" ca="1" si="0"/>
        <v>3.3134810477968998E-2</v>
      </c>
      <c r="I34" s="3">
        <f t="shared" ca="1" si="0"/>
        <v>3.8200044959510543E-2</v>
      </c>
      <c r="K34" s="3">
        <f t="shared" ca="1" si="1"/>
        <v>-0.29290089966036514</v>
      </c>
      <c r="L34" s="3">
        <f t="shared" ca="1" si="2"/>
        <v>-5.0652344815415445E-3</v>
      </c>
    </row>
    <row r="35" spans="2:12" x14ac:dyDescent="0.2">
      <c r="B35" vm="103">
        <f ca="1"/>
        <v>45017</v>
      </c>
      <c r="C35" vm="761">
        <f ca="1"/>
        <v>7.71</v>
      </c>
      <c r="D35" vm="105">
        <f ca="1"/>
        <v>415.93</v>
      </c>
      <c r="E35" vm="106">
        <f ca="1"/>
        <v>100.42189999999999</v>
      </c>
      <c r="G35" s="3">
        <f t="shared" ca="1" si="0"/>
        <v>-0.11582568807339456</v>
      </c>
      <c r="H35" s="3">
        <f t="shared" ca="1" si="0"/>
        <v>1.5974987176042454E-2</v>
      </c>
      <c r="I35" s="3">
        <f t="shared" ca="1" si="0"/>
        <v>2.0265658738678975E-3</v>
      </c>
      <c r="K35" s="3">
        <f t="shared" ca="1" si="1"/>
        <v>-0.11785225394726247</v>
      </c>
      <c r="L35" s="3">
        <f t="shared" ca="1" si="2"/>
        <v>1.3948421302174557E-2</v>
      </c>
    </row>
    <row r="36" spans="2:12" x14ac:dyDescent="0.2">
      <c r="B36" vm="107">
        <f ca="1"/>
        <v>45047</v>
      </c>
      <c r="C36" vm="762">
        <f ca="1"/>
        <v>7.03</v>
      </c>
      <c r="D36" vm="109">
        <f ca="1"/>
        <v>417.85</v>
      </c>
      <c r="E36" vm="110">
        <f ca="1"/>
        <v>97.8125</v>
      </c>
      <c r="G36" s="3">
        <f t="shared" ca="1" si="0"/>
        <v>-8.8197146562905282E-2</v>
      </c>
      <c r="H36" s="3">
        <f t="shared" ca="1" si="0"/>
        <v>4.6161613733080465E-3</v>
      </c>
      <c r="I36" s="3">
        <f t="shared" ca="1" si="0"/>
        <v>-2.5984371934806988E-2</v>
      </c>
      <c r="K36" s="3">
        <f t="shared" ca="1" si="1"/>
        <v>-6.2212774628098294E-2</v>
      </c>
      <c r="L36" s="3">
        <f t="shared" ca="1" si="2"/>
        <v>3.0600533308115033E-2</v>
      </c>
    </row>
    <row r="37" spans="2:12" x14ac:dyDescent="0.2">
      <c r="B37" vm="111">
        <f ca="1"/>
        <v>45078</v>
      </c>
      <c r="C37" vm="763">
        <f ca="1"/>
        <v>7.88</v>
      </c>
      <c r="D37" vm="113">
        <f ca="1"/>
        <v>443.28</v>
      </c>
      <c r="E37" vm="114">
        <f ca="1"/>
        <v>96.203100000000006</v>
      </c>
      <c r="G37" s="3">
        <f t="shared" ca="1" si="0"/>
        <v>0.12091038406827875</v>
      </c>
      <c r="H37" s="3">
        <f t="shared" ca="1" si="0"/>
        <v>6.0859159985640655E-2</v>
      </c>
      <c r="I37" s="3">
        <f t="shared" ca="1" si="0"/>
        <v>-1.645392971246E-2</v>
      </c>
      <c r="K37" s="3">
        <f t="shared" ca="1" si="1"/>
        <v>0.13736431378073877</v>
      </c>
      <c r="L37" s="3">
        <f t="shared" ca="1" si="2"/>
        <v>7.7313089698100662E-2</v>
      </c>
    </row>
    <row r="38" spans="2:12" x14ac:dyDescent="0.2">
      <c r="B38" vm="115">
        <f ca="1"/>
        <v>45108</v>
      </c>
      <c r="C38" vm="764">
        <f ca="1"/>
        <v>9.4700000000000006</v>
      </c>
      <c r="D38" vm="117">
        <f ca="1"/>
        <v>457.79</v>
      </c>
      <c r="E38" vm="118">
        <f ca="1"/>
        <v>95.25</v>
      </c>
      <c r="G38" s="3">
        <f t="shared" ca="1" si="0"/>
        <v>0.201776649746193</v>
      </c>
      <c r="H38" s="3">
        <f t="shared" ca="1" si="0"/>
        <v>3.273326114419791E-2</v>
      </c>
      <c r="I38" s="3">
        <f t="shared" ca="1" si="0"/>
        <v>-9.9071651537217219E-3</v>
      </c>
      <c r="K38" s="3">
        <f t="shared" ca="1" si="1"/>
        <v>0.21168381489991472</v>
      </c>
      <c r="L38" s="3">
        <f t="shared" ca="1" si="2"/>
        <v>4.2640426297919629E-2</v>
      </c>
    </row>
    <row r="39" spans="2:12" x14ac:dyDescent="0.2">
      <c r="B39" vm="119">
        <f ca="1"/>
        <v>45139</v>
      </c>
      <c r="C39" vm="765">
        <f ca="1"/>
        <v>8.06</v>
      </c>
      <c r="D39" vm="121">
        <f ca="1"/>
        <v>450.35</v>
      </c>
      <c r="E39" vm="122">
        <f ca="1"/>
        <v>98.0625</v>
      </c>
      <c r="G39" s="3">
        <f t="shared" ca="1" si="0"/>
        <v>-0.14889123548046462</v>
      </c>
      <c r="H39" s="3">
        <f t="shared" ca="1" si="0"/>
        <v>-1.6251993272024284E-2</v>
      </c>
      <c r="I39" s="3">
        <f t="shared" ca="1" si="0"/>
        <v>2.952755905511811E-2</v>
      </c>
      <c r="K39" s="3">
        <f t="shared" ca="1" si="1"/>
        <v>-0.17841879453558274</v>
      </c>
      <c r="L39" s="3">
        <f t="shared" ca="1" si="2"/>
        <v>-4.5779552327142398E-2</v>
      </c>
    </row>
    <row r="40" spans="2:12" x14ac:dyDescent="0.2">
      <c r="B40" vm="123">
        <f ca="1"/>
        <v>45170</v>
      </c>
      <c r="C40" vm="766">
        <f ca="1"/>
        <v>6.92</v>
      </c>
      <c r="D40" vm="125">
        <f ca="1"/>
        <v>427.48</v>
      </c>
      <c r="E40" vm="126">
        <f ca="1"/>
        <v>94.453100000000006</v>
      </c>
      <c r="G40" s="3">
        <f t="shared" ca="1" si="0"/>
        <v>-0.14143920595533505</v>
      </c>
      <c r="H40" s="3">
        <f t="shared" ca="1" si="0"/>
        <v>-5.0782724547574119E-2</v>
      </c>
      <c r="I40" s="3">
        <f t="shared" ca="1" si="0"/>
        <v>-3.6807138304652584E-2</v>
      </c>
      <c r="K40" s="3">
        <f t="shared" ca="1" si="1"/>
        <v>-0.10463206765068246</v>
      </c>
      <c r="L40" s="3">
        <f t="shared" ca="1" si="2"/>
        <v>-1.3975586242921535E-2</v>
      </c>
    </row>
    <row r="41" spans="2:12" x14ac:dyDescent="0.2">
      <c r="B41" vm="127">
        <f ca="1"/>
        <v>45200</v>
      </c>
      <c r="C41" vm="767">
        <f ca="1"/>
        <v>6.52</v>
      </c>
      <c r="D41" vm="129">
        <f ca="1"/>
        <v>418.2</v>
      </c>
      <c r="E41" vm="130">
        <f ca="1"/>
        <v>91.890600000000006</v>
      </c>
      <c r="G41" s="3">
        <f t="shared" ca="1" si="0"/>
        <v>-5.780346820809254E-2</v>
      </c>
      <c r="H41" s="3">
        <f t="shared" ca="1" si="0"/>
        <v>-2.1708617947038527E-2</v>
      </c>
      <c r="I41" s="3">
        <f t="shared" ca="1" si="0"/>
        <v>-2.7129866568699174E-2</v>
      </c>
      <c r="K41" s="3">
        <f t="shared" ca="1" si="1"/>
        <v>-3.0673601639393366E-2</v>
      </c>
      <c r="L41" s="3">
        <f t="shared" ca="1" si="2"/>
        <v>5.4212486216606466E-3</v>
      </c>
    </row>
    <row r="42" spans="2:12" x14ac:dyDescent="0.2">
      <c r="B42" vm="131">
        <f ca="1"/>
        <v>45231</v>
      </c>
      <c r="C42" vm="768">
        <f ca="1"/>
        <v>7.73</v>
      </c>
      <c r="D42" vm="133">
        <f ca="1"/>
        <v>456.4</v>
      </c>
      <c r="E42" vm="134">
        <f ca="1"/>
        <v>102.01560000000001</v>
      </c>
      <c r="G42" s="3">
        <f t="shared" ca="1" si="0"/>
        <v>0.18558282208588972</v>
      </c>
      <c r="H42" s="3">
        <f t="shared" ca="1" si="0"/>
        <v>9.134385461501672E-2</v>
      </c>
      <c r="I42" s="3">
        <f t="shared" ca="1" si="0"/>
        <v>0.11018537260612075</v>
      </c>
      <c r="K42" s="3">
        <f t="shared" ca="1" si="1"/>
        <v>7.5397449479768966E-2</v>
      </c>
      <c r="L42" s="3">
        <f t="shared" ca="1" si="2"/>
        <v>-1.8841517991104034E-2</v>
      </c>
    </row>
    <row r="43" spans="2:12" x14ac:dyDescent="0.2">
      <c r="B43" vm="135">
        <f ca="1"/>
        <v>45261</v>
      </c>
      <c r="C43" vm="769">
        <f ca="1"/>
        <v>8.9600000000000009</v>
      </c>
      <c r="D43" vm="137">
        <f ca="1"/>
        <v>475.31</v>
      </c>
      <c r="E43" vm="138">
        <f ca="1"/>
        <v>105.1563</v>
      </c>
      <c r="G43" s="3">
        <f t="shared" ca="1" si="0"/>
        <v>0.15912031047865463</v>
      </c>
      <c r="H43" s="3">
        <f t="shared" ca="1" si="0"/>
        <v>4.1432953549518023E-2</v>
      </c>
      <c r="I43" s="3">
        <f t="shared" ca="1" si="0"/>
        <v>3.0786467951960241E-2</v>
      </c>
      <c r="K43" s="3">
        <f t="shared" ca="1" si="1"/>
        <v>0.12833384252669439</v>
      </c>
      <c r="L43" s="3">
        <f t="shared" ca="1" si="2"/>
        <v>1.0646485597557782E-2</v>
      </c>
    </row>
    <row r="44" spans="2:12" x14ac:dyDescent="0.2">
      <c r="B44" vm="139">
        <f ca="1"/>
        <v>45292</v>
      </c>
      <c r="C44" vm="770">
        <f ca="1"/>
        <v>9.5500000000000007</v>
      </c>
      <c r="D44" vm="141">
        <f ca="1"/>
        <v>482.88</v>
      </c>
      <c r="E44" vm="142">
        <f ca="1"/>
        <v>103.6875</v>
      </c>
      <c r="G44" s="3">
        <f t="shared" ca="1" si="0"/>
        <v>6.584821428571426E-2</v>
      </c>
      <c r="H44" s="3">
        <f t="shared" ca="1" si="0"/>
        <v>1.5926448002356344E-2</v>
      </c>
      <c r="I44" s="3">
        <f t="shared" ca="1" si="0"/>
        <v>-1.3967779391249041E-2</v>
      </c>
      <c r="K44" s="3">
        <f t="shared" ca="1" si="1"/>
        <v>7.9815993676963307E-2</v>
      </c>
      <c r="L44" s="3">
        <f t="shared" ca="1" si="2"/>
        <v>2.9894227393605387E-2</v>
      </c>
    </row>
    <row r="45" spans="2:12" x14ac:dyDescent="0.2">
      <c r="B45" vm="143">
        <f ca="1"/>
        <v>45323</v>
      </c>
      <c r="C45" vm="771">
        <f ca="1"/>
        <v>5.84</v>
      </c>
      <c r="D45" vm="145">
        <f ca="1"/>
        <v>508.08</v>
      </c>
      <c r="E45" vm="146">
        <f ca="1"/>
        <v>97.875</v>
      </c>
      <c r="G45" s="3">
        <f t="shared" ca="1" si="0"/>
        <v>-0.3884816753926702</v>
      </c>
      <c r="H45" s="3">
        <f t="shared" ca="1" si="0"/>
        <v>5.2186878727634174E-2</v>
      </c>
      <c r="I45" s="3">
        <f t="shared" ca="1" si="0"/>
        <v>-5.6057866184448461E-2</v>
      </c>
      <c r="K45" s="3">
        <f t="shared" ca="1" si="1"/>
        <v>-0.33242380920822173</v>
      </c>
      <c r="L45" s="3">
        <f t="shared" ca="1" si="2"/>
        <v>0.10824474491208264</v>
      </c>
    </row>
    <row r="46" spans="2:12" x14ac:dyDescent="0.2">
      <c r="B46" vm="147">
        <f ca="1"/>
        <v>45352</v>
      </c>
      <c r="C46" vm="772">
        <f ca="1"/>
        <v>6.32</v>
      </c>
      <c r="D46" vm="149">
        <f ca="1"/>
        <v>523.07000000000005</v>
      </c>
      <c r="E46" vm="150">
        <f ca="1"/>
        <v>98.468800000000002</v>
      </c>
      <c r="G46" s="3">
        <f t="shared" ca="1" si="0"/>
        <v>8.2191780821917887E-2</v>
      </c>
      <c r="H46" s="3">
        <f t="shared" ca="1" si="0"/>
        <v>2.9503227838135856E-2</v>
      </c>
      <c r="I46" s="3">
        <f t="shared" ca="1" si="0"/>
        <v>6.0669220945083185E-3</v>
      </c>
      <c r="K46" s="3">
        <f t="shared" ca="1" si="1"/>
        <v>7.6124858727409567E-2</v>
      </c>
      <c r="L46" s="3">
        <f t="shared" ca="1" si="2"/>
        <v>2.3436305743627539E-2</v>
      </c>
    </row>
    <row r="47" spans="2:12" x14ac:dyDescent="0.2">
      <c r="B47" vm="151">
        <f ca="1"/>
        <v>45383</v>
      </c>
      <c r="C47" vm="773">
        <f ca="1"/>
        <v>5.75</v>
      </c>
      <c r="D47" vm="153">
        <f ca="1"/>
        <v>501.98</v>
      </c>
      <c r="E47" vm="154">
        <f ca="1"/>
        <v>94.6875</v>
      </c>
      <c r="G47" s="3">
        <f t="shared" ca="1" si="0"/>
        <v>-9.0189873417721556E-2</v>
      </c>
      <c r="H47" s="3">
        <f t="shared" ca="1" si="0"/>
        <v>-4.031965128950242E-2</v>
      </c>
      <c r="I47" s="3">
        <f t="shared" ca="1" si="0"/>
        <v>-3.8400996051541215E-2</v>
      </c>
      <c r="K47" s="3">
        <f t="shared" ca="1" si="1"/>
        <v>-5.178887736618034E-2</v>
      </c>
      <c r="L47" s="3">
        <f t="shared" ca="1" si="2"/>
        <v>-1.9186552379612046E-3</v>
      </c>
    </row>
    <row r="48" spans="2:12" x14ac:dyDescent="0.2">
      <c r="B48" vm="155">
        <f ca="1"/>
        <v>45413</v>
      </c>
      <c r="C48" vm="774">
        <f ca="1"/>
        <v>6.24</v>
      </c>
      <c r="D48" vm="157">
        <f ca="1"/>
        <v>527.37</v>
      </c>
      <c r="E48" vm="158">
        <f ca="1"/>
        <v>98.984399999999994</v>
      </c>
      <c r="G48" s="3">
        <f t="shared" ca="1" si="0"/>
        <v>8.521739130434787E-2</v>
      </c>
      <c r="H48" s="3">
        <f t="shared" ca="1" si="0"/>
        <v>5.0579704370692029E-2</v>
      </c>
      <c r="I48" s="3">
        <f t="shared" ca="1" si="0"/>
        <v>4.5379801980197955E-2</v>
      </c>
      <c r="K48" s="3">
        <f t="shared" ca="1" si="1"/>
        <v>3.9837589324149915E-2</v>
      </c>
      <c r="L48" s="3">
        <f t="shared" ca="1" si="2"/>
        <v>5.1999023904940739E-3</v>
      </c>
    </row>
    <row r="49" spans="2:12" x14ac:dyDescent="0.2">
      <c r="B49" vm="159">
        <f ca="1"/>
        <v>45444</v>
      </c>
      <c r="C49" vm="775">
        <f ca="1"/>
        <v>5.2</v>
      </c>
      <c r="D49" vm="161">
        <f ca="1"/>
        <v>544.22</v>
      </c>
      <c r="E49" vm="162">
        <f ca="1"/>
        <v>99.671899999999994</v>
      </c>
      <c r="G49" s="3">
        <f t="shared" ca="1" si="0"/>
        <v>-0.16666666666666666</v>
      </c>
      <c r="H49" s="3">
        <f t="shared" ca="1" si="0"/>
        <v>3.1951002142708199E-2</v>
      </c>
      <c r="I49" s="3">
        <f t="shared" ca="1" si="0"/>
        <v>6.9455388929972805E-3</v>
      </c>
      <c r="K49" s="3">
        <f t="shared" ca="1" si="1"/>
        <v>-0.17361220555966395</v>
      </c>
      <c r="L49" s="3">
        <f t="shared" ca="1" si="2"/>
        <v>2.5005463249710917E-2</v>
      </c>
    </row>
    <row r="50" spans="2:12" x14ac:dyDescent="0.2">
      <c r="B50" vm="163">
        <f ca="1"/>
        <v>45474</v>
      </c>
      <c r="C50" vm="776">
        <f ca="1"/>
        <v>6.43</v>
      </c>
      <c r="D50" vm="165">
        <f ca="1"/>
        <v>550.80999999999995</v>
      </c>
      <c r="E50" vm="166">
        <f ca="1"/>
        <v>102.5313</v>
      </c>
      <c r="G50" s="3">
        <f t="shared" ca="1" si="0"/>
        <v>0.23653846153846145</v>
      </c>
      <c r="H50" s="3">
        <f t="shared" ca="1" si="0"/>
        <v>1.210907353643732E-2</v>
      </c>
      <c r="I50" s="3">
        <f t="shared" ca="1" si="0"/>
        <v>2.8688125740554841E-2</v>
      </c>
      <c r="K50" s="3">
        <f t="shared" ca="1" si="1"/>
        <v>0.2078503357979066</v>
      </c>
      <c r="L50" s="3">
        <f t="shared" ca="1" si="2"/>
        <v>-1.6579052204117522E-2</v>
      </c>
    </row>
    <row r="51" spans="2:12" x14ac:dyDescent="0.2">
      <c r="B51" vm="167">
        <f ca="1"/>
        <v>45505</v>
      </c>
      <c r="C51" vm="777">
        <f ca="1"/>
        <v>5.0999999999999996</v>
      </c>
      <c r="D51" vm="169">
        <f ca="1"/>
        <v>563.67999999999995</v>
      </c>
      <c r="E51" vm="170">
        <f ca="1"/>
        <v>99.718800000000002</v>
      </c>
      <c r="G51" s="3">
        <f t="shared" ca="1" si="0"/>
        <v>-0.20684292379471231</v>
      </c>
      <c r="H51" s="3">
        <f t="shared" ca="1" si="0"/>
        <v>2.3365588860042495E-2</v>
      </c>
      <c r="I51" s="3">
        <f t="shared" ca="1" si="0"/>
        <v>-2.7430648006998837E-2</v>
      </c>
      <c r="K51" s="3">
        <f t="shared" ca="1" si="1"/>
        <v>-0.17941227578771346</v>
      </c>
      <c r="L51" s="3">
        <f t="shared" ca="1" si="2"/>
        <v>5.0796236867041336E-2</v>
      </c>
    </row>
    <row r="52" spans="2:12" x14ac:dyDescent="0.2">
      <c r="B52" vm="171">
        <f ca="1"/>
        <v>45536</v>
      </c>
      <c r="C52" vm="778">
        <f ca="1"/>
        <v>5.36</v>
      </c>
      <c r="D52" vm="173">
        <f ca="1"/>
        <v>573.76</v>
      </c>
      <c r="E52" vm="174">
        <f ca="1"/>
        <v>100.79689999999999</v>
      </c>
      <c r="G52" s="3">
        <f t="shared" ca="1" si="0"/>
        <v>5.0980392156862883E-2</v>
      </c>
      <c r="H52" s="3">
        <f t="shared" ca="1" si="0"/>
        <v>1.7882486517172939E-2</v>
      </c>
      <c r="I52" s="3">
        <f t="shared" ca="1" si="0"/>
        <v>1.081140166147198E-2</v>
      </c>
      <c r="K52" s="3">
        <f t="shared" ca="1" si="1"/>
        <v>4.0168990495390904E-2</v>
      </c>
      <c r="L52" s="3">
        <f t="shared" ca="1" si="2"/>
        <v>7.0710848557009598E-3</v>
      </c>
    </row>
    <row r="53" spans="2:12" x14ac:dyDescent="0.2">
      <c r="B53" vm="175">
        <f ca="1"/>
        <v>45566</v>
      </c>
      <c r="C53" vm="779">
        <f ca="1"/>
        <v>5.71</v>
      </c>
      <c r="D53" vm="177">
        <f ca="1"/>
        <v>568.64</v>
      </c>
      <c r="E53" vm="178">
        <f ca="1"/>
        <v>96.718800000000002</v>
      </c>
      <c r="G53" s="3">
        <f t="shared" ca="1" si="0"/>
        <v>6.5298507462686492E-2</v>
      </c>
      <c r="H53" s="3">
        <f t="shared" ca="1" si="0"/>
        <v>-8.9235917456776427E-3</v>
      </c>
      <c r="I53" s="3">
        <f t="shared" ca="1" si="0"/>
        <v>-4.0458585531896241E-2</v>
      </c>
      <c r="K53" s="3">
        <f t="shared" ca="1" si="1"/>
        <v>0.10575709299458273</v>
      </c>
      <c r="L53" s="3">
        <f t="shared" ca="1" si="2"/>
        <v>3.1534993786218601E-2</v>
      </c>
    </row>
    <row r="54" spans="2:12" x14ac:dyDescent="0.2">
      <c r="B54" vm="179">
        <f ca="1"/>
        <v>45597</v>
      </c>
      <c r="C54" vm="780">
        <f ca="1"/>
        <v>4.2699999999999996</v>
      </c>
      <c r="D54" vm="181">
        <f ca="1"/>
        <v>602.54999999999995</v>
      </c>
      <c r="E54" vm="182">
        <f ca="1"/>
        <v>100.57810000000001</v>
      </c>
      <c r="G54" s="3">
        <f t="shared" ca="1" si="0"/>
        <v>-0.25218914185639235</v>
      </c>
      <c r="H54" s="3">
        <f t="shared" ca="1" si="0"/>
        <v>5.9633511536297076E-2</v>
      </c>
      <c r="I54" s="3">
        <f t="shared" ca="1" si="0"/>
        <v>3.990227339462446E-2</v>
      </c>
      <c r="K54" s="3">
        <f t="shared" ca="1" si="1"/>
        <v>-0.29209141525101678</v>
      </c>
      <c r="L54" s="3">
        <f t="shared" ca="1" si="2"/>
        <v>1.9731238141672616E-2</v>
      </c>
    </row>
    <row r="55" spans="2:12" x14ac:dyDescent="0.2">
      <c r="B55" vm="183">
        <f ca="1"/>
        <v>45627</v>
      </c>
      <c r="C55" vm="781">
        <f ca="1"/>
        <v>3.15</v>
      </c>
      <c r="D55" vm="185">
        <f ca="1"/>
        <v>586.08000000000004</v>
      </c>
      <c r="E55" vm="186">
        <f ca="1"/>
        <v>97.453100000000006</v>
      </c>
      <c r="G55" s="3">
        <f t="shared" ca="1" si="0"/>
        <v>-0.26229508196721307</v>
      </c>
      <c r="H55" s="3">
        <f t="shared" ca="1" si="0"/>
        <v>-2.7333831217326222E-2</v>
      </c>
      <c r="I55" s="3">
        <f t="shared" ca="1" si="0"/>
        <v>-3.1070382120958737E-2</v>
      </c>
      <c r="K55" s="3">
        <f t="shared" ca="1" si="1"/>
        <v>-0.23122469984625432</v>
      </c>
      <c r="L55" s="3">
        <f t="shared" ca="1" si="2"/>
        <v>3.7365509036325142E-3</v>
      </c>
    </row>
    <row r="56" spans="2:12" x14ac:dyDescent="0.2">
      <c r="B56" vm="187">
        <f ca="1"/>
        <v>45658</v>
      </c>
      <c r="C56" vm="782">
        <f ca="1"/>
        <v>3.74</v>
      </c>
      <c r="D56" vm="189">
        <f ca="1"/>
        <v>601.82000000000005</v>
      </c>
      <c r="E56" vm="30">
        <f ca="1"/>
        <v>97.703100000000006</v>
      </c>
      <c r="G56" s="3">
        <f t="shared" ca="1" si="0"/>
        <v>0.18730158730158741</v>
      </c>
      <c r="H56" s="3">
        <f t="shared" ca="1" si="0"/>
        <v>2.6856401856401872E-2</v>
      </c>
      <c r="I56" s="3">
        <f t="shared" ca="1" si="0"/>
        <v>2.5653365567642281E-3</v>
      </c>
      <c r="K56" s="3">
        <f t="shared" ca="1" si="1"/>
        <v>0.18473625074482319</v>
      </c>
      <c r="L56" s="3">
        <f t="shared" ca="1" si="2"/>
        <v>2.4291065299637642E-2</v>
      </c>
    </row>
    <row r="57" spans="2:12" x14ac:dyDescent="0.2">
      <c r="B57" vm="190">
        <f ca="1"/>
        <v>45689</v>
      </c>
      <c r="C57" vm="783">
        <f ca="1"/>
        <v>3.76</v>
      </c>
      <c r="D57" vm="192">
        <f ca="1"/>
        <v>594.17999999999995</v>
      </c>
      <c r="E57" vm="193">
        <f ca="1"/>
        <v>103.4063</v>
      </c>
      <c r="G57" s="3">
        <f t="shared" ca="1" si="0"/>
        <v>5.3475935828875866E-3</v>
      </c>
      <c r="H57" s="3">
        <f t="shared" ca="1" si="0"/>
        <v>-1.2694825695390814E-2</v>
      </c>
      <c r="I57" s="3">
        <f t="shared" ca="1" si="0"/>
        <v>5.8372764016699524E-2</v>
      </c>
      <c r="K57" s="3">
        <f t="shared" ca="1" si="1"/>
        <v>-5.3025170433811941E-2</v>
      </c>
      <c r="L57" s="3">
        <f t="shared" ca="1" si="2"/>
        <v>-7.1067589712090345E-2</v>
      </c>
    </row>
    <row r="58" spans="2:12" x14ac:dyDescent="0.2">
      <c r="B58" vm="194">
        <f ca="1"/>
        <v>45717</v>
      </c>
      <c r="C58" vm="784">
        <f ca="1"/>
        <v>4.32</v>
      </c>
      <c r="D58" vm="195">
        <f ca="1"/>
        <v>559.39</v>
      </c>
      <c r="E58" vm="196">
        <f ca="1"/>
        <v>103.32810000000001</v>
      </c>
      <c r="G58" s="3">
        <f t="shared" ca="1" si="0"/>
        <v>0.14893617021276609</v>
      </c>
      <c r="H58" s="3">
        <f t="shared" ca="1" si="0"/>
        <v>-5.8551280756673006E-2</v>
      </c>
      <c r="I58" s="3">
        <f t="shared" ca="1" si="0"/>
        <v>-7.5624019039454446E-4</v>
      </c>
      <c r="K58" s="3">
        <f t="shared" ca="1" si="1"/>
        <v>0.14969241040316064</v>
      </c>
      <c r="L58" s="3">
        <f t="shared" ca="1" si="2"/>
        <v>-5.7795040566278461E-2</v>
      </c>
    </row>
    <row r="59" spans="2:12" x14ac:dyDescent="0.2">
      <c r="B59" vm="197">
        <f ca="1"/>
        <v>45748</v>
      </c>
      <c r="C59" vm="785">
        <f ca="1"/>
        <v>3.35</v>
      </c>
      <c r="D59" vm="199">
        <f ca="1"/>
        <v>554.54</v>
      </c>
      <c r="E59" vm="200">
        <f ca="1"/>
        <v>103.5313</v>
      </c>
      <c r="G59" s="3">
        <f t="shared" ca="1" si="0"/>
        <v>-0.22453703703703706</v>
      </c>
      <c r="H59" s="3">
        <f t="shared" ca="1" si="0"/>
        <v>-8.6701585655804044E-3</v>
      </c>
      <c r="I59" s="3">
        <f t="shared" ca="1" si="0"/>
        <v>1.9665512092063571E-3</v>
      </c>
      <c r="K59" s="3">
        <f t="shared" ca="1" si="1"/>
        <v>-0.22650358824624342</v>
      </c>
      <c r="L59" s="3">
        <f t="shared" ca="1" si="2"/>
        <v>-1.0636709774786762E-2</v>
      </c>
    </row>
    <row r="60" spans="2:12" x14ac:dyDescent="0.2">
      <c r="B60" vm="201">
        <f ca="1"/>
        <v>45778</v>
      </c>
      <c r="C60" vm="786">
        <f ca="1"/>
        <v>3.97</v>
      </c>
      <c r="D60" vm="203">
        <f ca="1"/>
        <v>589.39</v>
      </c>
      <c r="E60" vm="204">
        <f ca="1"/>
        <v>98.8125</v>
      </c>
      <c r="G60" s="3">
        <f t="shared" ca="1" si="0"/>
        <v>0.18507462686567167</v>
      </c>
      <c r="H60" s="3">
        <f t="shared" ca="1" si="0"/>
        <v>6.284488044144701E-2</v>
      </c>
      <c r="I60" s="3">
        <f t="shared" ca="1" si="0"/>
        <v>-4.5578486892369763E-2</v>
      </c>
      <c r="K60" s="3">
        <f t="shared" ca="1" si="1"/>
        <v>0.23065311375804143</v>
      </c>
      <c r="L60" s="3">
        <f t="shared" ca="1" si="2"/>
        <v>0.10842336733381677</v>
      </c>
    </row>
    <row r="61" spans="2:12" x14ac:dyDescent="0.2">
      <c r="B61" vm="205">
        <f ca="1"/>
        <v>45809</v>
      </c>
      <c r="C61" vm="787">
        <f ca="1"/>
        <v>4.53</v>
      </c>
      <c r="D61" vm="207">
        <f ca="1"/>
        <v>617.85</v>
      </c>
      <c r="E61" vm="15">
        <f ca="1"/>
        <v>100.14060000000001</v>
      </c>
      <c r="G61" s="3">
        <f t="shared" ca="1" si="0"/>
        <v>0.14105793450881612</v>
      </c>
      <c r="H61" s="3">
        <f t="shared" ca="1" si="0"/>
        <v>4.828721220244666E-2</v>
      </c>
      <c r="I61" s="3">
        <f t="shared" ca="1" si="0"/>
        <v>1.3440607210626249E-2</v>
      </c>
      <c r="K61" s="3">
        <f t="shared" ca="1" si="1"/>
        <v>0.12761732729818986</v>
      </c>
      <c r="L61" s="3">
        <f t="shared" ca="1" si="2"/>
        <v>3.4846604991820407E-2</v>
      </c>
    </row>
    <row r="62" spans="2:12" x14ac:dyDescent="0.2">
      <c r="B62" vm="208">
        <f ca="1"/>
        <v>45839</v>
      </c>
      <c r="C62" vm="788">
        <f ca="1"/>
        <v>4.51</v>
      </c>
      <c r="D62" vm="210">
        <f ca="1"/>
        <v>632.08000000000004</v>
      </c>
      <c r="E62" vm="211">
        <f ca="1"/>
        <v>98.953100000000006</v>
      </c>
      <c r="G62" s="3">
        <f t="shared" ca="1" si="0"/>
        <v>-4.4150110375276953E-3</v>
      </c>
      <c r="H62" s="3">
        <f t="shared" ca="1" si="0"/>
        <v>2.3031480132718326E-2</v>
      </c>
      <c r="I62" s="3">
        <f t="shared" ca="1" si="0"/>
        <v>-1.1858327191968093E-2</v>
      </c>
      <c r="K62" s="3">
        <f t="shared" ca="1" si="1"/>
        <v>7.4433161544403973E-3</v>
      </c>
      <c r="L62" s="3">
        <f t="shared" ca="1" si="2"/>
        <v>3.4889807324686418E-2</v>
      </c>
    </row>
    <row r="63" spans="2:12" x14ac:dyDescent="0.2">
      <c r="B63" vm="212">
        <f ca="1"/>
        <v>45870</v>
      </c>
      <c r="C63" vm="789">
        <f ca="1"/>
        <v>6.13</v>
      </c>
      <c r="D63" vm="214">
        <f ca="1"/>
        <v>645.04999999999995</v>
      </c>
      <c r="E63" vm="15">
        <f ca="1"/>
        <v>100.14060000000001</v>
      </c>
      <c r="G63" s="3">
        <f t="shared" ca="1" si="0"/>
        <v>0.35920177383592022</v>
      </c>
      <c r="H63" s="3">
        <f t="shared" ca="1" si="0"/>
        <v>2.051955448677369E-2</v>
      </c>
      <c r="I63" s="3">
        <f t="shared" ca="1" si="0"/>
        <v>1.2000634644088966E-2</v>
      </c>
      <c r="K63" s="3">
        <f t="shared" ca="1" si="1"/>
        <v>0.34720113919183127</v>
      </c>
      <c r="L63" s="3">
        <f t="shared" ca="1" si="2"/>
        <v>8.5189198426847239E-3</v>
      </c>
    </row>
    <row r="64" spans="2:12" x14ac:dyDescent="0.2">
      <c r="B64" vm="215">
        <f ca="1"/>
        <v>45901</v>
      </c>
      <c r="C64" vm="790">
        <f ca="1"/>
        <v>5.78</v>
      </c>
      <c r="D64" vm="217">
        <f ca="1"/>
        <v>666.18</v>
      </c>
      <c r="E64" vm="218">
        <f ca="1"/>
        <v>100.75</v>
      </c>
      <c r="G64" s="3">
        <f t="shared" ca="1" si="0"/>
        <v>-5.709624796084823E-2</v>
      </c>
      <c r="H64" s="3">
        <f t="shared" ca="1" si="0"/>
        <v>3.275715060847996E-2</v>
      </c>
      <c r="I64" s="3">
        <f t="shared" ca="1" si="0"/>
        <v>6.085443865924447E-3</v>
      </c>
      <c r="K64" s="3">
        <f t="shared" ca="1" si="1"/>
        <v>-6.3181691826772676E-2</v>
      </c>
      <c r="L64" s="3">
        <f t="shared" ca="1" si="2"/>
        <v>2.6671706742555513E-2</v>
      </c>
    </row>
    <row r="65" spans="2:12" x14ac:dyDescent="0.2">
      <c r="B65" vm="219">
        <f ca="1"/>
        <v>45931</v>
      </c>
      <c r="C65" vm="791">
        <f ca="1"/>
        <v>4.57</v>
      </c>
      <c r="D65" vm="221">
        <f ca="1"/>
        <v>682.06</v>
      </c>
      <c r="E65" vm="222">
        <f ca="1"/>
        <v>101.32810000000001</v>
      </c>
      <c r="G65" s="3">
        <f t="shared" ca="1" si="0"/>
        <v>-0.20934256055363321</v>
      </c>
      <c r="H65" s="3">
        <f t="shared" ca="1" si="0"/>
        <v>2.3837401302951148E-2</v>
      </c>
      <c r="I65" s="3">
        <f t="shared" ca="1" si="0"/>
        <v>5.7379652605459679E-3</v>
      </c>
      <c r="K65" s="3">
        <f t="shared" ca="1" si="1"/>
        <v>-0.21508052581417916</v>
      </c>
      <c r="L65" s="3">
        <f t="shared" ca="1" si="2"/>
        <v>1.809943604240518E-2</v>
      </c>
    </row>
    <row r="66" spans="2:12" x14ac:dyDescent="0.2">
      <c r="B66" vm="223">
        <f ca="1"/>
        <v>45962</v>
      </c>
      <c r="C66" vm="792">
        <f ca="1"/>
        <v>4.92</v>
      </c>
      <c r="D66" vm="225">
        <f ca="1"/>
        <v>683.39</v>
      </c>
      <c r="E66" vm="226">
        <f ca="1"/>
        <v>99.859399999999994</v>
      </c>
      <c r="G66" s="3">
        <f t="shared" ca="1" si="0"/>
        <v>7.6586433260393785E-2</v>
      </c>
      <c r="H66" s="3">
        <f t="shared" ca="1" si="0"/>
        <v>1.9499750755066138E-3</v>
      </c>
      <c r="I66" s="3">
        <f t="shared" ca="1" si="0"/>
        <v>-1.4494498564564149E-2</v>
      </c>
      <c r="K66" s="3">
        <f t="shared" ca="1" si="1"/>
        <v>9.1080931824957939E-2</v>
      </c>
      <c r="L66" s="3">
        <f t="shared" ca="1" si="2"/>
        <v>1.6444473640070761E-2</v>
      </c>
    </row>
    <row r="67" spans="2:12" x14ac:dyDescent="0.2">
      <c r="B67" vm="227">
        <f ca="1"/>
        <v>45992</v>
      </c>
      <c r="C67" vm="793">
        <f ca="1"/>
        <v>4.84</v>
      </c>
      <c r="D67" vm="229">
        <f ca="1"/>
        <v>681.92</v>
      </c>
      <c r="E67" vm="230">
        <f ca="1"/>
        <v>98.6875</v>
      </c>
      <c r="G67" s="3">
        <f t="shared" ca="1" si="0"/>
        <v>-1.6260162601626032E-2</v>
      </c>
      <c r="H67" s="3">
        <f t="shared" ca="1" si="0"/>
        <v>-2.151041133174362E-3</v>
      </c>
      <c r="I67" s="3">
        <f t="shared" ca="1" si="0"/>
        <v>-1.1735500113159039E-2</v>
      </c>
      <c r="K67" s="3">
        <f t="shared" ca="1" si="1"/>
        <v>-4.524662488466993E-3</v>
      </c>
      <c r="L67" s="3">
        <f t="shared" ca="1" si="2"/>
        <v>9.5844589799846773E-3</v>
      </c>
    </row>
    <row r="68" spans="2:12" x14ac:dyDescent="0.2">
      <c r="B68" vm="231">
        <f ca="1"/>
        <v>46023</v>
      </c>
      <c r="C68" vm="788">
        <f ca="1"/>
        <v>4.51</v>
      </c>
      <c r="D68" vm="233">
        <f ca="1"/>
        <v>691.97</v>
      </c>
      <c r="E68" vm="234">
        <f ca="1"/>
        <v>98.078100000000006</v>
      </c>
      <c r="G68" s="3">
        <f t="shared" ca="1" si="0"/>
        <v>-6.8181818181818205E-2</v>
      </c>
      <c r="H68" s="3">
        <f t="shared" ca="1" si="0"/>
        <v>1.4737799155326239E-2</v>
      </c>
      <c r="I68" s="3">
        <f t="shared" ca="1" si="0"/>
        <v>-6.1750474984166555E-3</v>
      </c>
      <c r="K68" s="3">
        <f t="shared" ca="1" si="1"/>
        <v>-6.2006770683401546E-2</v>
      </c>
      <c r="L68" s="3">
        <f t="shared" ca="1" si="2"/>
        <v>2.0912846653742895E-2</v>
      </c>
    </row>
    <row r="69" spans="2:12" x14ac:dyDescent="0.2">
      <c r="B69" vm="235">
        <f ca="1"/>
        <v>46054</v>
      </c>
      <c r="C69" vm="794">
        <f ca="1"/>
        <v>5.19</v>
      </c>
      <c r="D69" vm="237">
        <f ca="1"/>
        <v>685.99</v>
      </c>
      <c r="E69" vm="238">
        <f ca="1"/>
        <v>101.4375</v>
      </c>
      <c r="G69" s="3">
        <f t="shared" ca="1" si="0"/>
        <v>0.15077605321507775</v>
      </c>
      <c r="H69" s="3">
        <f t="shared" ca="1" si="0"/>
        <v>-8.6419931499920784E-3</v>
      </c>
      <c r="I69" s="3">
        <f t="shared" ca="1" si="0"/>
        <v>3.4252294854814617E-2</v>
      </c>
      <c r="K69" s="3">
        <f t="shared" ca="1" si="1"/>
        <v>0.11652375836026313</v>
      </c>
      <c r="L69" s="3">
        <f t="shared" ca="1" si="2"/>
        <v>-4.2894288004806699E-2</v>
      </c>
    </row>
    <row r="70" spans="2:12" x14ac:dyDescent="0.2">
      <c r="B70" vm="239">
        <f ca="1"/>
        <v>46082</v>
      </c>
      <c r="C70" vm="795">
        <f ca="1"/>
        <v>4.63</v>
      </c>
      <c r="D70" vm="241">
        <f ca="1"/>
        <v>662.29</v>
      </c>
      <c r="E70" vm="242">
        <f ca="1"/>
        <v>98.734399999999994</v>
      </c>
      <c r="G70" s="3">
        <f t="shared" ca="1" si="0"/>
        <v>-0.10789980732177273</v>
      </c>
      <c r="H70" s="3">
        <f t="shared" ca="1" si="0"/>
        <v>-3.4548608580300073E-2</v>
      </c>
      <c r="I70" s="3">
        <f t="shared" ca="1" si="0"/>
        <v>-2.6647935921133764E-2</v>
      </c>
      <c r="K70" s="3">
        <f t="shared" ca="1" si="1"/>
        <v>-8.125187140063897E-2</v>
      </c>
      <c r="L70" s="3">
        <f t="shared" ca="1" si="2"/>
        <v>-7.9006726591663093E-3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3BFA0-815F-4DA1-978D-B4C98AC24DEB}">
  <dimension ref="B2:L70"/>
  <sheetViews>
    <sheetView workbookViewId="0">
      <selection activeCell="O22" sqref="O22"/>
    </sheetView>
  </sheetViews>
  <sheetFormatPr baseColWidth="10" defaultColWidth="8.83203125" defaultRowHeight="15" x14ac:dyDescent="0.2"/>
  <cols>
    <col min="2" max="2" width="10.83203125" bestFit="1" customWidth="1"/>
    <col min="3" max="3" width="10.83203125" customWidth="1"/>
    <col min="4" max="4" width="12" bestFit="1" customWidth="1"/>
    <col min="5" max="5" width="10.5" bestFit="1" customWidth="1"/>
    <col min="11" max="11" width="10.5" customWidth="1"/>
  </cols>
  <sheetData>
    <row r="2" spans="2:12" x14ac:dyDescent="0.2">
      <c r="B2" t="e" vm="796">
        <v>#VALUE!</v>
      </c>
      <c r="G2" s="7" t="s">
        <v>238</v>
      </c>
      <c r="H2" s="7">
        <f ca="1">INDEX(LINEST(K11:K70,L11:L70,1,1),1,1)</f>
        <v>0.36679148499234276</v>
      </c>
    </row>
    <row r="3" spans="2:12" x14ac:dyDescent="0.2">
      <c r="B3" t="e" vm="3">
        <v>#VALUE!</v>
      </c>
      <c r="G3" s="7" t="s">
        <v>239</v>
      </c>
      <c r="H3" s="61">
        <f ca="1">INDEX(LINEST(K11:K70,L11:L70,1,1),2,1)</f>
        <v>0.29488138530023272</v>
      </c>
    </row>
    <row r="4" spans="2:12" x14ac:dyDescent="0.2">
      <c r="B4" t="e" vm="1">
        <v>#VALUE!</v>
      </c>
    </row>
    <row r="6" spans="2:12" x14ac:dyDescent="0.2">
      <c r="B6" s="50">
        <v>44256</v>
      </c>
      <c r="C6" s="50"/>
    </row>
    <row r="7" spans="2:12" x14ac:dyDescent="0.2">
      <c r="B7" s="50">
        <v>46082</v>
      </c>
      <c r="C7" s="50"/>
    </row>
    <row r="9" spans="2:12" x14ac:dyDescent="0.2">
      <c r="C9" t="s">
        <v>240</v>
      </c>
      <c r="D9" t="s">
        <v>241</v>
      </c>
      <c r="E9" t="s">
        <v>242</v>
      </c>
    </row>
    <row r="10" spans="2:12" x14ac:dyDescent="0.2">
      <c r="B10" cm="1" vm="4">
        <f t="array" aca="1" ref="B10:C70" ca="1">_xlfn.STOCKHISTORY(B2,$B$6,$B$7,2,0)</f>
        <v>44256</v>
      </c>
      <c r="C10" vm="797">
        <f ca="1"/>
        <v>29.26</v>
      </c>
      <c r="D10" cm="1" vm="6">
        <f t="array" aca="1" ref="D10:D70" ca="1">_xlfn.STOCKHISTORY(B3,$B$6,$B$7,2,0,1)</f>
        <v>396.33</v>
      </c>
      <c r="E10" cm="1" vm="7">
        <f t="array" aca="1" ref="E10:E70" ca="1">_xlfn.STOCKHISTORY(B4,$B$6,$B$7,2,0,1)</f>
        <v>94.484399999999994</v>
      </c>
      <c r="G10" t="s">
        <v>243</v>
      </c>
      <c r="H10" t="s">
        <v>244</v>
      </c>
      <c r="I10" t="s">
        <v>245</v>
      </c>
      <c r="K10" t="s">
        <v>246</v>
      </c>
      <c r="L10" t="s">
        <v>247</v>
      </c>
    </row>
    <row r="11" spans="2:12" x14ac:dyDescent="0.2">
      <c r="B11" vm="8">
        <f ca="1"/>
        <v>44287</v>
      </c>
      <c r="C11" vm="798">
        <f ca="1"/>
        <v>32.47</v>
      </c>
      <c r="D11" vm="10">
        <f ca="1"/>
        <v>417.3</v>
      </c>
      <c r="E11" vm="11">
        <f ca="1"/>
        <v>95.484399999999994</v>
      </c>
      <c r="G11" s="3">
        <f ca="1">(C11-C10)/C10</f>
        <v>0.10970608339029382</v>
      </c>
      <c r="H11" s="3">
        <f ca="1">(D11-D10)/D10</f>
        <v>5.291045341003716E-2</v>
      </c>
      <c r="I11" s="3">
        <f ca="1">(E11-E10)/E10</f>
        <v>1.0583757742018789E-2</v>
      </c>
      <c r="K11" s="3">
        <f ca="1">G11-I11</f>
        <v>9.9122325648275028E-2</v>
      </c>
      <c r="L11" s="3">
        <f ca="1">H11-I11</f>
        <v>4.2326695668018374E-2</v>
      </c>
    </row>
    <row r="12" spans="2:12" x14ac:dyDescent="0.2">
      <c r="B12" vm="12">
        <f ca="1"/>
        <v>44317</v>
      </c>
      <c r="C12" vm="799">
        <f ca="1"/>
        <v>33.69</v>
      </c>
      <c r="D12" vm="14">
        <f ca="1"/>
        <v>420.04</v>
      </c>
      <c r="E12" vm="15">
        <f ca="1"/>
        <v>100.14060000000001</v>
      </c>
      <c r="G12" s="3">
        <f t="shared" ref="G12:I70" ca="1" si="0">(C12-C11)/C11</f>
        <v>3.757314444102245E-2</v>
      </c>
      <c r="H12" s="3">
        <f t="shared" ca="1" si="0"/>
        <v>6.566019650131821E-3</v>
      </c>
      <c r="I12" s="3">
        <f t="shared" ca="1" si="0"/>
        <v>4.8763986577912338E-2</v>
      </c>
      <c r="K12" s="3">
        <f t="shared" ref="K12:K70" ca="1" si="1">G12-I12</f>
        <v>-1.1190842136889888E-2</v>
      </c>
      <c r="L12" s="3">
        <f t="shared" ref="L12:L70" ca="1" si="2">H12-I12</f>
        <v>-4.2197966927780516E-2</v>
      </c>
    </row>
    <row r="13" spans="2:12" x14ac:dyDescent="0.2">
      <c r="B13" vm="16">
        <f ca="1"/>
        <v>44348</v>
      </c>
      <c r="C13" vm="800">
        <f ca="1"/>
        <v>33.22</v>
      </c>
      <c r="D13" vm="18">
        <f ca="1"/>
        <v>428.06</v>
      </c>
      <c r="E13" vm="19">
        <f ca="1"/>
        <v>101.4063</v>
      </c>
      <c r="G13" s="3">
        <f t="shared" ca="1" si="0"/>
        <v>-1.3950727218759243E-2</v>
      </c>
      <c r="H13" s="3">
        <f t="shared" ca="1" si="0"/>
        <v>1.9093419674316686E-2</v>
      </c>
      <c r="I13" s="3">
        <f t="shared" ca="1" si="0"/>
        <v>1.2639229243683334E-2</v>
      </c>
      <c r="K13" s="3">
        <f t="shared" ca="1" si="1"/>
        <v>-2.6589956462442575E-2</v>
      </c>
      <c r="L13" s="3">
        <f t="shared" ca="1" si="2"/>
        <v>6.4541904306333522E-3</v>
      </c>
    </row>
    <row r="14" spans="2:12" x14ac:dyDescent="0.2">
      <c r="B14" vm="20">
        <f ca="1"/>
        <v>44378</v>
      </c>
      <c r="C14" vm="801">
        <f ca="1"/>
        <v>28.29</v>
      </c>
      <c r="D14" vm="22">
        <f ca="1"/>
        <v>438.51</v>
      </c>
      <c r="E14" vm="23">
        <f ca="1"/>
        <v>103.67189999999999</v>
      </c>
      <c r="G14" s="3">
        <f t="shared" ca="1" si="0"/>
        <v>-0.14840457555689343</v>
      </c>
      <c r="H14" s="3">
        <f t="shared" ca="1" si="0"/>
        <v>2.4412465542213681E-2</v>
      </c>
      <c r="I14" s="3">
        <f t="shared" ca="1" si="0"/>
        <v>2.2341807165826896E-2</v>
      </c>
      <c r="K14" s="3">
        <f t="shared" ca="1" si="1"/>
        <v>-0.17074638272272033</v>
      </c>
      <c r="L14" s="3">
        <f t="shared" ca="1" si="2"/>
        <v>2.0706583763867858E-3</v>
      </c>
    </row>
    <row r="15" spans="2:12" x14ac:dyDescent="0.2">
      <c r="B15" vm="24">
        <f ca="1"/>
        <v>44409</v>
      </c>
      <c r="C15" vm="802">
        <f ca="1"/>
        <v>30.01</v>
      </c>
      <c r="D15" vm="25">
        <f ca="1"/>
        <v>451.56</v>
      </c>
      <c r="E15" vm="26">
        <f ca="1"/>
        <v>99.406300000000002</v>
      </c>
      <c r="G15" s="3">
        <f t="shared" ca="1" si="0"/>
        <v>6.0798868858253891E-2</v>
      </c>
      <c r="H15" s="3">
        <f t="shared" ca="1" si="0"/>
        <v>2.9759868646097035E-2</v>
      </c>
      <c r="I15" s="3">
        <f t="shared" ca="1" si="0"/>
        <v>-4.1145189776593198E-2</v>
      </c>
      <c r="K15" s="3">
        <f t="shared" ca="1" si="1"/>
        <v>0.1019440586348471</v>
      </c>
      <c r="L15" s="3">
        <f t="shared" ca="1" si="2"/>
        <v>7.0905058422690237E-2</v>
      </c>
    </row>
    <row r="16" spans="2:12" x14ac:dyDescent="0.2">
      <c r="B16" vm="27">
        <f ca="1"/>
        <v>44440</v>
      </c>
      <c r="C16" vm="803">
        <f ca="1"/>
        <v>31.68</v>
      </c>
      <c r="D16" vm="29">
        <f ca="1"/>
        <v>429.14</v>
      </c>
      <c r="E16" vm="30">
        <f ca="1"/>
        <v>97.703100000000006</v>
      </c>
      <c r="G16" s="3">
        <f t="shared" ca="1" si="0"/>
        <v>5.5648117294235189E-2</v>
      </c>
      <c r="H16" s="3">
        <f t="shared" ca="1" si="0"/>
        <v>-4.9650101869076126E-2</v>
      </c>
      <c r="I16" s="3">
        <f t="shared" ca="1" si="0"/>
        <v>-1.7133722912934041E-2</v>
      </c>
      <c r="K16" s="3">
        <f t="shared" ca="1" si="1"/>
        <v>7.2781840207169227E-2</v>
      </c>
      <c r="L16" s="3">
        <f t="shared" ca="1" si="2"/>
        <v>-3.2516378956142081E-2</v>
      </c>
    </row>
    <row r="17" spans="2:12" x14ac:dyDescent="0.2">
      <c r="B17" vm="31">
        <f ca="1"/>
        <v>44470</v>
      </c>
      <c r="C17" vm="804">
        <f ca="1"/>
        <v>26.13</v>
      </c>
      <c r="D17" vm="33">
        <f ca="1"/>
        <v>459.25</v>
      </c>
      <c r="E17" vm="34">
        <f ca="1"/>
        <v>97.078100000000006</v>
      </c>
      <c r="G17" s="3">
        <f t="shared" ca="1" si="0"/>
        <v>-0.17518939393939395</v>
      </c>
      <c r="H17" s="3">
        <f t="shared" ca="1" si="0"/>
        <v>7.0163582979913347E-2</v>
      </c>
      <c r="I17" s="3">
        <f t="shared" ca="1" si="0"/>
        <v>-6.3969311106812365E-3</v>
      </c>
      <c r="K17" s="3">
        <f t="shared" ca="1" si="1"/>
        <v>-0.16879246282871271</v>
      </c>
      <c r="L17" s="3">
        <f t="shared" ca="1" si="2"/>
        <v>7.6560514090594584E-2</v>
      </c>
    </row>
    <row r="18" spans="2:12" x14ac:dyDescent="0.2">
      <c r="B18" vm="35">
        <f ca="1"/>
        <v>44501</v>
      </c>
      <c r="C18" vm="805">
        <f ca="1"/>
        <v>23.33</v>
      </c>
      <c r="D18" vm="37">
        <f ca="1"/>
        <v>455.56</v>
      </c>
      <c r="E18" vm="38">
        <f ca="1"/>
        <v>98.656300000000002</v>
      </c>
      <c r="G18" s="3">
        <f t="shared" ca="1" si="0"/>
        <v>-0.10715652506697286</v>
      </c>
      <c r="H18" s="3">
        <f t="shared" ca="1" si="0"/>
        <v>-8.0348394120849168E-3</v>
      </c>
      <c r="I18" s="3">
        <f t="shared" ca="1" si="0"/>
        <v>1.6257013682797618E-2</v>
      </c>
      <c r="K18" s="3">
        <f t="shared" ca="1" si="1"/>
        <v>-0.12341353874977048</v>
      </c>
      <c r="L18" s="3">
        <f t="shared" ca="1" si="2"/>
        <v>-2.4291853094882535E-2</v>
      </c>
    </row>
    <row r="19" spans="2:12" x14ac:dyDescent="0.2">
      <c r="B19" vm="39">
        <f ca="1"/>
        <v>44531</v>
      </c>
      <c r="C19" vm="806">
        <f ca="1"/>
        <v>26.43</v>
      </c>
      <c r="D19" vm="41">
        <f ca="1"/>
        <v>474.96</v>
      </c>
      <c r="E19" vm="42">
        <f ca="1"/>
        <v>98.75</v>
      </c>
      <c r="G19" s="3">
        <f t="shared" ca="1" si="0"/>
        <v>0.13287612516073732</v>
      </c>
      <c r="H19" s="3">
        <f t="shared" ca="1" si="0"/>
        <v>4.2584950390727842E-2</v>
      </c>
      <c r="I19" s="3">
        <f t="shared" ca="1" si="0"/>
        <v>9.4976195134014081E-4</v>
      </c>
      <c r="K19" s="3">
        <f t="shared" ca="1" si="1"/>
        <v>0.13192636320939718</v>
      </c>
      <c r="L19" s="3">
        <f t="shared" ca="1" si="2"/>
        <v>4.1635188439387703E-2</v>
      </c>
    </row>
    <row r="20" spans="2:12" x14ac:dyDescent="0.2">
      <c r="B20" vm="43">
        <f ca="1"/>
        <v>44562</v>
      </c>
      <c r="C20" vm="807">
        <f ca="1"/>
        <v>27.48</v>
      </c>
      <c r="D20" vm="45">
        <f ca="1"/>
        <v>449.91</v>
      </c>
      <c r="E20" vm="46">
        <f ca="1"/>
        <v>96.296899999999994</v>
      </c>
      <c r="G20" s="3">
        <f t="shared" ca="1" si="0"/>
        <v>3.9727582292849062E-2</v>
      </c>
      <c r="H20" s="3">
        <f t="shared" ca="1" si="0"/>
        <v>-5.2741283476503191E-2</v>
      </c>
      <c r="I20" s="3">
        <f t="shared" ca="1" si="0"/>
        <v>-2.4841518987341837E-2</v>
      </c>
      <c r="K20" s="3">
        <f t="shared" ca="1" si="1"/>
        <v>6.4569101280190902E-2</v>
      </c>
      <c r="L20" s="3">
        <f t="shared" ca="1" si="2"/>
        <v>-2.7899764489161354E-2</v>
      </c>
    </row>
    <row r="21" spans="2:12" x14ac:dyDescent="0.2">
      <c r="B21" vm="47">
        <f ca="1"/>
        <v>44593</v>
      </c>
      <c r="C21" vm="808">
        <f ca="1"/>
        <v>30</v>
      </c>
      <c r="D21" vm="49">
        <f ca="1"/>
        <v>436.63</v>
      </c>
      <c r="E21" vm="50">
        <f ca="1"/>
        <v>99.75</v>
      </c>
      <c r="G21" s="3">
        <f t="shared" ca="1" si="0"/>
        <v>9.170305676855893E-2</v>
      </c>
      <c r="H21" s="3">
        <f t="shared" ca="1" si="0"/>
        <v>-2.9517014514013978E-2</v>
      </c>
      <c r="I21" s="3">
        <f t="shared" ca="1" si="0"/>
        <v>3.5858890576955293E-2</v>
      </c>
      <c r="K21" s="3">
        <f t="shared" ca="1" si="1"/>
        <v>5.5844166191603636E-2</v>
      </c>
      <c r="L21" s="3">
        <f t="shared" ca="1" si="2"/>
        <v>-6.5375905090969272E-2</v>
      </c>
    </row>
    <row r="22" spans="2:12" x14ac:dyDescent="0.2">
      <c r="B22" vm="51">
        <f ca="1"/>
        <v>44621</v>
      </c>
      <c r="C22" vm="809">
        <f ca="1"/>
        <v>28.02</v>
      </c>
      <c r="D22" vm="53">
        <f ca="1"/>
        <v>451.64</v>
      </c>
      <c r="E22" vm="54">
        <f ca="1"/>
        <v>95.8125</v>
      </c>
      <c r="G22" s="3">
        <f t="shared" ca="1" si="0"/>
        <v>-6.6000000000000017E-2</v>
      </c>
      <c r="H22" s="3">
        <f t="shared" ca="1" si="0"/>
        <v>3.4376932414172161E-2</v>
      </c>
      <c r="I22" s="3">
        <f t="shared" ca="1" si="0"/>
        <v>-3.9473684210526314E-2</v>
      </c>
      <c r="K22" s="3">
        <f t="shared" ca="1" si="1"/>
        <v>-2.6526315789473703E-2</v>
      </c>
      <c r="L22" s="3">
        <f t="shared" ca="1" si="2"/>
        <v>7.3850616624698467E-2</v>
      </c>
    </row>
    <row r="23" spans="2:12" x14ac:dyDescent="0.2">
      <c r="B23" vm="55">
        <f ca="1"/>
        <v>44652</v>
      </c>
      <c r="C23" vm="810">
        <f ca="1"/>
        <v>22.24</v>
      </c>
      <c r="D23" vm="57">
        <f ca="1"/>
        <v>412</v>
      </c>
      <c r="E23" vm="58">
        <f ca="1"/>
        <v>91.015600000000006</v>
      </c>
      <c r="G23" s="3">
        <f t="shared" ca="1" si="0"/>
        <v>-0.20628122769450397</v>
      </c>
      <c r="H23" s="3">
        <f t="shared" ca="1" si="0"/>
        <v>-8.7769019573111298E-2</v>
      </c>
      <c r="I23" s="3">
        <f t="shared" ca="1" si="0"/>
        <v>-5.0065492498369148E-2</v>
      </c>
      <c r="K23" s="3">
        <f t="shared" ca="1" si="1"/>
        <v>-0.15621573519613483</v>
      </c>
      <c r="L23" s="3">
        <f t="shared" ca="1" si="2"/>
        <v>-3.7703527074742151E-2</v>
      </c>
    </row>
    <row r="24" spans="2:12" x14ac:dyDescent="0.2">
      <c r="B24" vm="59">
        <f ca="1"/>
        <v>44682</v>
      </c>
      <c r="C24" vm="811">
        <f ca="1"/>
        <v>24.23</v>
      </c>
      <c r="D24" vm="61">
        <f ca="1"/>
        <v>412.93</v>
      </c>
      <c r="E24" vm="62">
        <f ca="1"/>
        <v>100.0938</v>
      </c>
      <c r="G24" s="3">
        <f t="shared" ca="1" si="0"/>
        <v>8.9478417266187146E-2</v>
      </c>
      <c r="H24" s="3">
        <f t="shared" ca="1" si="0"/>
        <v>2.2572815533980746E-3</v>
      </c>
      <c r="I24" s="3">
        <f t="shared" ca="1" si="0"/>
        <v>9.9743340702033445E-2</v>
      </c>
      <c r="K24" s="3">
        <f t="shared" ca="1" si="1"/>
        <v>-1.0264923435846299E-2</v>
      </c>
      <c r="L24" s="3">
        <f t="shared" ca="1" si="2"/>
        <v>-9.7486059148635368E-2</v>
      </c>
    </row>
    <row r="25" spans="2:12" x14ac:dyDescent="0.2">
      <c r="B25" vm="63">
        <f ca="1"/>
        <v>44713</v>
      </c>
      <c r="C25" vm="812">
        <f ca="1"/>
        <v>20.399999999999999</v>
      </c>
      <c r="D25" vm="65">
        <f ca="1"/>
        <v>377.25</v>
      </c>
      <c r="E25" vm="66">
        <f ca="1"/>
        <v>98.796899999999994</v>
      </c>
      <c r="G25" s="3">
        <f t="shared" ca="1" si="0"/>
        <v>-0.15806851011143219</v>
      </c>
      <c r="H25" s="3">
        <f t="shared" ca="1" si="0"/>
        <v>-8.6406897052769244E-2</v>
      </c>
      <c r="I25" s="3">
        <f t="shared" ca="1" si="0"/>
        <v>-1.2956846478003712E-2</v>
      </c>
      <c r="K25" s="3">
        <f t="shared" ca="1" si="1"/>
        <v>-0.14511166363342848</v>
      </c>
      <c r="L25" s="3">
        <f t="shared" ca="1" si="2"/>
        <v>-7.345005057476553E-2</v>
      </c>
    </row>
    <row r="26" spans="2:12" x14ac:dyDescent="0.2">
      <c r="B26" vm="67">
        <f ca="1"/>
        <v>44743</v>
      </c>
      <c r="C26" vm="813">
        <f ca="1"/>
        <v>21.84</v>
      </c>
      <c r="D26" vm="69">
        <f ca="1"/>
        <v>411.99</v>
      </c>
      <c r="E26" vm="70">
        <f ca="1"/>
        <v>101.7813</v>
      </c>
      <c r="G26" s="3">
        <f t="shared" ca="1" si="0"/>
        <v>7.0588235294117715E-2</v>
      </c>
      <c r="H26" s="3">
        <f t="shared" ca="1" si="0"/>
        <v>9.2087475149105397E-2</v>
      </c>
      <c r="I26" s="3">
        <f t="shared" ca="1" si="0"/>
        <v>3.0207425536631291E-2</v>
      </c>
      <c r="K26" s="3">
        <f t="shared" ca="1" si="1"/>
        <v>4.0380809757486424E-2</v>
      </c>
      <c r="L26" s="3">
        <f t="shared" ca="1" si="2"/>
        <v>6.1880049612474106E-2</v>
      </c>
    </row>
    <row r="27" spans="2:12" x14ac:dyDescent="0.2">
      <c r="B27" vm="71">
        <f ca="1"/>
        <v>44774</v>
      </c>
      <c r="C27" vm="814">
        <f ca="1"/>
        <v>22.09</v>
      </c>
      <c r="D27" vm="73">
        <f ca="1"/>
        <v>395.18</v>
      </c>
      <c r="E27" vm="74">
        <f ca="1"/>
        <v>96.234399999999994</v>
      </c>
      <c r="G27" s="3">
        <f t="shared" ca="1" si="0"/>
        <v>1.1446886446886446E-2</v>
      </c>
      <c r="H27" s="3">
        <f t="shared" ca="1" si="0"/>
        <v>-4.0801961212650797E-2</v>
      </c>
      <c r="I27" s="3">
        <f t="shared" ca="1" si="0"/>
        <v>-5.4498223151011119E-2</v>
      </c>
      <c r="K27" s="3">
        <f t="shared" ca="1" si="1"/>
        <v>6.5945109597897567E-2</v>
      </c>
      <c r="L27" s="3">
        <f t="shared" ca="1" si="2"/>
        <v>1.3696261938360321E-2</v>
      </c>
    </row>
    <row r="28" spans="2:12" x14ac:dyDescent="0.2">
      <c r="B28" vm="75">
        <f ca="1"/>
        <v>44805</v>
      </c>
      <c r="C28" vm="815">
        <f ca="1"/>
        <v>18.09</v>
      </c>
      <c r="D28" vm="77">
        <f ca="1"/>
        <v>357.18</v>
      </c>
      <c r="E28" vm="78">
        <f ca="1"/>
        <v>91.203100000000006</v>
      </c>
      <c r="G28" s="3">
        <f t="shared" ca="1" si="0"/>
        <v>-0.18107741059302851</v>
      </c>
      <c r="H28" s="3">
        <f t="shared" ca="1" si="0"/>
        <v>-9.615871248544966E-2</v>
      </c>
      <c r="I28" s="3">
        <f t="shared" ca="1" si="0"/>
        <v>-5.2281720465862394E-2</v>
      </c>
      <c r="K28" s="3">
        <f t="shared" ca="1" si="1"/>
        <v>-0.12879569012716613</v>
      </c>
      <c r="L28" s="3">
        <f t="shared" ca="1" si="2"/>
        <v>-4.3876992019587266E-2</v>
      </c>
    </row>
    <row r="29" spans="2:12" x14ac:dyDescent="0.2">
      <c r="B29" vm="79">
        <f ca="1"/>
        <v>44835</v>
      </c>
      <c r="C29" vm="816">
        <f ca="1"/>
        <v>17.809999999999999</v>
      </c>
      <c r="D29" vm="81">
        <f ca="1"/>
        <v>386.21</v>
      </c>
      <c r="E29" vm="82">
        <f ca="1"/>
        <v>89.531300000000002</v>
      </c>
      <c r="G29" s="3">
        <f t="shared" ca="1" si="0"/>
        <v>-1.5478164731896138E-2</v>
      </c>
      <c r="H29" s="3">
        <f t="shared" ca="1" si="0"/>
        <v>8.1275547343076238E-2</v>
      </c>
      <c r="I29" s="3">
        <f t="shared" ca="1" si="0"/>
        <v>-1.8330517274083934E-2</v>
      </c>
      <c r="K29" s="3">
        <f t="shared" ca="1" si="1"/>
        <v>2.8523525421877954E-3</v>
      </c>
      <c r="L29" s="3">
        <f t="shared" ca="1" si="2"/>
        <v>9.9606064617160178E-2</v>
      </c>
    </row>
    <row r="30" spans="2:12" x14ac:dyDescent="0.2">
      <c r="B30" vm="83">
        <f ca="1"/>
        <v>44866</v>
      </c>
      <c r="C30" vm="40">
        <f ca="1"/>
        <v>18.559999999999999</v>
      </c>
      <c r="D30" vm="85">
        <f ca="1"/>
        <v>407.68</v>
      </c>
      <c r="E30" vm="86">
        <f ca="1"/>
        <v>103.1875</v>
      </c>
      <c r="G30" s="3">
        <f t="shared" ca="1" si="0"/>
        <v>4.2111173498034817E-2</v>
      </c>
      <c r="H30" s="3">
        <f t="shared" ca="1" si="0"/>
        <v>5.5591517568162475E-2</v>
      </c>
      <c r="I30" s="3">
        <f t="shared" ca="1" si="0"/>
        <v>0.15252989736550232</v>
      </c>
      <c r="K30" s="3">
        <f t="shared" ca="1" si="1"/>
        <v>-0.11041872386746751</v>
      </c>
      <c r="L30" s="3">
        <f t="shared" ca="1" si="2"/>
        <v>-9.6938379797339852E-2</v>
      </c>
    </row>
    <row r="31" spans="2:12" x14ac:dyDescent="0.2">
      <c r="B31" vm="87">
        <f ca="1"/>
        <v>44896</v>
      </c>
      <c r="C31" vm="817">
        <f ca="1"/>
        <v>15.51</v>
      </c>
      <c r="D31" vm="89">
        <f ca="1"/>
        <v>382.43</v>
      </c>
      <c r="E31" vm="90">
        <f ca="1"/>
        <v>102</v>
      </c>
      <c r="G31" s="3">
        <f t="shared" ca="1" si="0"/>
        <v>-0.16433189655172409</v>
      </c>
      <c r="H31" s="3">
        <f t="shared" ca="1" si="0"/>
        <v>-6.1935832025117737E-2</v>
      </c>
      <c r="I31" s="3">
        <f t="shared" ca="1" si="0"/>
        <v>-1.1508176862507571E-2</v>
      </c>
      <c r="K31" s="3">
        <f t="shared" ca="1" si="1"/>
        <v>-0.15282371968921651</v>
      </c>
      <c r="L31" s="3">
        <f t="shared" ca="1" si="2"/>
        <v>-5.0427655162610163E-2</v>
      </c>
    </row>
    <row r="32" spans="2:12" x14ac:dyDescent="0.2">
      <c r="B32" vm="91">
        <f ca="1"/>
        <v>44927</v>
      </c>
      <c r="C32" vm="818">
        <f ca="1"/>
        <v>20.63</v>
      </c>
      <c r="D32" vm="93">
        <f ca="1"/>
        <v>406.48</v>
      </c>
      <c r="E32" vm="94">
        <f ca="1"/>
        <v>104.8438</v>
      </c>
      <c r="G32" s="3">
        <f t="shared" ca="1" si="0"/>
        <v>0.33010960670535133</v>
      </c>
      <c r="H32" s="3">
        <f t="shared" ca="1" si="0"/>
        <v>6.2887325785111026E-2</v>
      </c>
      <c r="I32" s="3">
        <f t="shared" ca="1" si="0"/>
        <v>2.7880392156862763E-2</v>
      </c>
      <c r="K32" s="3">
        <f t="shared" ca="1" si="1"/>
        <v>0.30222921454848856</v>
      </c>
      <c r="L32" s="3">
        <f t="shared" ca="1" si="2"/>
        <v>3.5006933628248263E-2</v>
      </c>
    </row>
    <row r="33" spans="2:12" x14ac:dyDescent="0.2">
      <c r="B33" vm="95">
        <f ca="1"/>
        <v>44958</v>
      </c>
      <c r="C33" vm="819">
        <f ca="1"/>
        <v>16.27</v>
      </c>
      <c r="D33" vm="97">
        <f ca="1"/>
        <v>396.26</v>
      </c>
      <c r="E33" vm="98">
        <f ca="1"/>
        <v>96.531300000000002</v>
      </c>
      <c r="G33" s="3">
        <f t="shared" ca="1" si="0"/>
        <v>-0.21134270479883663</v>
      </c>
      <c r="H33" s="3">
        <f t="shared" ca="1" si="0"/>
        <v>-2.5142688447156138E-2</v>
      </c>
      <c r="I33" s="3">
        <f t="shared" ca="1" si="0"/>
        <v>-7.9284611965609791E-2</v>
      </c>
      <c r="K33" s="3">
        <f t="shared" ca="1" si="1"/>
        <v>-0.13205809283322684</v>
      </c>
      <c r="L33" s="3">
        <f t="shared" ca="1" si="2"/>
        <v>5.414192351845365E-2</v>
      </c>
    </row>
    <row r="34" spans="2:12" x14ac:dyDescent="0.2">
      <c r="B34" vm="99">
        <f ca="1"/>
        <v>44986</v>
      </c>
      <c r="C34" vm="820">
        <f ca="1"/>
        <v>17.16</v>
      </c>
      <c r="D34" vm="101">
        <f ca="1"/>
        <v>409.39</v>
      </c>
      <c r="E34" vm="102">
        <f ca="1"/>
        <v>100.2188</v>
      </c>
      <c r="G34" s="3">
        <f t="shared" ca="1" si="0"/>
        <v>5.4701905347264941E-2</v>
      </c>
      <c r="H34" s="3">
        <f t="shared" ca="1" si="0"/>
        <v>3.3134810477968998E-2</v>
      </c>
      <c r="I34" s="3">
        <f t="shared" ca="1" si="0"/>
        <v>3.8200044959510543E-2</v>
      </c>
      <c r="K34" s="3">
        <f t="shared" ca="1" si="1"/>
        <v>1.6501860387754398E-2</v>
      </c>
      <c r="L34" s="3">
        <f t="shared" ca="1" si="2"/>
        <v>-5.0652344815415445E-3</v>
      </c>
    </row>
    <row r="35" spans="2:12" x14ac:dyDescent="0.2">
      <c r="B35" vm="103">
        <f ca="1"/>
        <v>45017</v>
      </c>
      <c r="C35" vm="821">
        <f ca="1"/>
        <v>19.89</v>
      </c>
      <c r="D35" vm="105">
        <f ca="1"/>
        <v>415.93</v>
      </c>
      <c r="E35" vm="106">
        <f ca="1"/>
        <v>100.42189999999999</v>
      </c>
      <c r="G35" s="3">
        <f t="shared" ca="1" si="0"/>
        <v>0.15909090909090912</v>
      </c>
      <c r="H35" s="3">
        <f t="shared" ca="1" si="0"/>
        <v>1.5974987176042454E-2</v>
      </c>
      <c r="I35" s="3">
        <f t="shared" ca="1" si="0"/>
        <v>2.0265658738678975E-3</v>
      </c>
      <c r="K35" s="3">
        <f t="shared" ca="1" si="1"/>
        <v>0.15706434321704121</v>
      </c>
      <c r="L35" s="3">
        <f t="shared" ca="1" si="2"/>
        <v>1.3948421302174557E-2</v>
      </c>
    </row>
    <row r="36" spans="2:12" x14ac:dyDescent="0.2">
      <c r="B36" vm="107">
        <f ca="1"/>
        <v>45047</v>
      </c>
      <c r="C36" vm="822">
        <f ca="1"/>
        <v>15.38</v>
      </c>
      <c r="D36" vm="109">
        <f ca="1"/>
        <v>417.85</v>
      </c>
      <c r="E36" vm="110">
        <f ca="1"/>
        <v>97.8125</v>
      </c>
      <c r="G36" s="3">
        <f t="shared" ca="1" si="0"/>
        <v>-0.22674710910005025</v>
      </c>
      <c r="H36" s="3">
        <f t="shared" ca="1" si="0"/>
        <v>4.6161613733080465E-3</v>
      </c>
      <c r="I36" s="3">
        <f t="shared" ca="1" si="0"/>
        <v>-2.5984371934806988E-2</v>
      </c>
      <c r="K36" s="3">
        <f t="shared" ca="1" si="1"/>
        <v>-0.20076273716524326</v>
      </c>
      <c r="L36" s="3">
        <f t="shared" ca="1" si="2"/>
        <v>3.0600533308115033E-2</v>
      </c>
    </row>
    <row r="37" spans="2:12" x14ac:dyDescent="0.2">
      <c r="B37" vm="111">
        <f ca="1"/>
        <v>45078</v>
      </c>
      <c r="C37" vm="823">
        <f ca="1"/>
        <v>13.82</v>
      </c>
      <c r="D37" vm="113">
        <f ca="1"/>
        <v>443.28</v>
      </c>
      <c r="E37" vm="114">
        <f ca="1"/>
        <v>96.203100000000006</v>
      </c>
      <c r="G37" s="3">
        <f t="shared" ca="1" si="0"/>
        <v>-0.10143042912873865</v>
      </c>
      <c r="H37" s="3">
        <f t="shared" ca="1" si="0"/>
        <v>6.0859159985640655E-2</v>
      </c>
      <c r="I37" s="3">
        <f t="shared" ca="1" si="0"/>
        <v>-1.645392971246E-2</v>
      </c>
      <c r="K37" s="3">
        <f t="shared" ca="1" si="1"/>
        <v>-8.4976499416278647E-2</v>
      </c>
      <c r="L37" s="3">
        <f t="shared" ca="1" si="2"/>
        <v>7.7313089698100662E-2</v>
      </c>
    </row>
    <row r="38" spans="2:12" x14ac:dyDescent="0.2">
      <c r="B38" vm="115">
        <f ca="1"/>
        <v>45108</v>
      </c>
      <c r="C38" vm="824">
        <f ca="1"/>
        <v>13.91</v>
      </c>
      <c r="D38" vm="117">
        <f ca="1"/>
        <v>457.79</v>
      </c>
      <c r="E38" vm="118">
        <f ca="1"/>
        <v>95.25</v>
      </c>
      <c r="G38" s="3">
        <f t="shared" ca="1" si="0"/>
        <v>6.5123010130245917E-3</v>
      </c>
      <c r="H38" s="3">
        <f t="shared" ca="1" si="0"/>
        <v>3.273326114419791E-2</v>
      </c>
      <c r="I38" s="3">
        <f t="shared" ca="1" si="0"/>
        <v>-9.9071651537217219E-3</v>
      </c>
      <c r="K38" s="3">
        <f t="shared" ca="1" si="1"/>
        <v>1.6419466166746312E-2</v>
      </c>
      <c r="L38" s="3">
        <f t="shared" ca="1" si="2"/>
        <v>4.2640426297919629E-2</v>
      </c>
    </row>
    <row r="39" spans="2:12" x14ac:dyDescent="0.2">
      <c r="B39" vm="119">
        <f ca="1"/>
        <v>45139</v>
      </c>
      <c r="C39" vm="825">
        <f ca="1"/>
        <v>12.62</v>
      </c>
      <c r="D39" vm="121">
        <f ca="1"/>
        <v>450.35</v>
      </c>
      <c r="E39" vm="122">
        <f ca="1"/>
        <v>98.0625</v>
      </c>
      <c r="G39" s="3">
        <f t="shared" ca="1" si="0"/>
        <v>-9.2739036664270372E-2</v>
      </c>
      <c r="H39" s="3">
        <f t="shared" ca="1" si="0"/>
        <v>-1.6251993272024284E-2</v>
      </c>
      <c r="I39" s="3">
        <f t="shared" ca="1" si="0"/>
        <v>2.952755905511811E-2</v>
      </c>
      <c r="K39" s="3">
        <f t="shared" ca="1" si="1"/>
        <v>-0.12226659571938849</v>
      </c>
      <c r="L39" s="3">
        <f t="shared" ca="1" si="2"/>
        <v>-4.5779552327142398E-2</v>
      </c>
    </row>
    <row r="40" spans="2:12" x14ac:dyDescent="0.2">
      <c r="B40" vm="123">
        <f ca="1"/>
        <v>45170</v>
      </c>
      <c r="C40" vm="826">
        <f ca="1"/>
        <v>11.22</v>
      </c>
      <c r="D40" vm="125">
        <f ca="1"/>
        <v>427.48</v>
      </c>
      <c r="E40" vm="126">
        <f ca="1"/>
        <v>94.453100000000006</v>
      </c>
      <c r="G40" s="3">
        <f t="shared" ca="1" si="0"/>
        <v>-0.11093502377179071</v>
      </c>
      <c r="H40" s="3">
        <f t="shared" ca="1" si="0"/>
        <v>-5.0782724547574119E-2</v>
      </c>
      <c r="I40" s="3">
        <f t="shared" ca="1" si="0"/>
        <v>-3.6807138304652584E-2</v>
      </c>
      <c r="K40" s="3">
        <f t="shared" ca="1" si="1"/>
        <v>-7.4127885467138124E-2</v>
      </c>
      <c r="L40" s="3">
        <f t="shared" ca="1" si="2"/>
        <v>-1.3975586242921535E-2</v>
      </c>
    </row>
    <row r="41" spans="2:12" x14ac:dyDescent="0.2">
      <c r="B41" vm="127">
        <f ca="1"/>
        <v>45200</v>
      </c>
      <c r="C41" vm="827">
        <f ca="1"/>
        <v>10.87</v>
      </c>
      <c r="D41" vm="129">
        <f ca="1"/>
        <v>418.2</v>
      </c>
      <c r="E41" vm="130">
        <f ca="1"/>
        <v>91.890600000000006</v>
      </c>
      <c r="G41" s="3">
        <f t="shared" ca="1" si="0"/>
        <v>-3.1194295900178377E-2</v>
      </c>
      <c r="H41" s="3">
        <f t="shared" ca="1" si="0"/>
        <v>-2.1708617947038527E-2</v>
      </c>
      <c r="I41" s="3">
        <f t="shared" ca="1" si="0"/>
        <v>-2.7129866568699174E-2</v>
      </c>
      <c r="K41" s="3">
        <f t="shared" ca="1" si="1"/>
        <v>-4.0644293314792031E-3</v>
      </c>
      <c r="L41" s="3">
        <f t="shared" ca="1" si="2"/>
        <v>5.4212486216606466E-3</v>
      </c>
    </row>
    <row r="42" spans="2:12" x14ac:dyDescent="0.2">
      <c r="B42" vm="131">
        <f ca="1"/>
        <v>45231</v>
      </c>
      <c r="C42" vm="828">
        <f ca="1"/>
        <v>12.61</v>
      </c>
      <c r="D42" vm="133">
        <f ca="1"/>
        <v>456.4</v>
      </c>
      <c r="E42" vm="134">
        <f ca="1"/>
        <v>102.01560000000001</v>
      </c>
      <c r="G42" s="3">
        <f t="shared" ca="1" si="0"/>
        <v>0.16007359705611779</v>
      </c>
      <c r="H42" s="3">
        <f t="shared" ca="1" si="0"/>
        <v>9.134385461501672E-2</v>
      </c>
      <c r="I42" s="3">
        <f t="shared" ca="1" si="0"/>
        <v>0.11018537260612075</v>
      </c>
      <c r="K42" s="3">
        <f t="shared" ca="1" si="1"/>
        <v>4.9888224449997035E-2</v>
      </c>
      <c r="L42" s="3">
        <f t="shared" ca="1" si="2"/>
        <v>-1.8841517991104034E-2</v>
      </c>
    </row>
    <row r="43" spans="2:12" x14ac:dyDescent="0.2">
      <c r="B43" vm="135">
        <f ca="1"/>
        <v>45261</v>
      </c>
      <c r="C43" vm="829">
        <f ca="1"/>
        <v>13.03</v>
      </c>
      <c r="D43" vm="137">
        <f ca="1"/>
        <v>475.31</v>
      </c>
      <c r="E43" vm="138">
        <f ca="1"/>
        <v>105.1563</v>
      </c>
      <c r="G43" s="3">
        <f t="shared" ca="1" si="0"/>
        <v>3.3306899286280722E-2</v>
      </c>
      <c r="H43" s="3">
        <f t="shared" ca="1" si="0"/>
        <v>4.1432953549518023E-2</v>
      </c>
      <c r="I43" s="3">
        <f t="shared" ca="1" si="0"/>
        <v>3.0786467951960241E-2</v>
      </c>
      <c r="K43" s="3">
        <f t="shared" ca="1" si="1"/>
        <v>2.5204313343204811E-3</v>
      </c>
      <c r="L43" s="3">
        <f t="shared" ca="1" si="2"/>
        <v>1.0646485597557782E-2</v>
      </c>
    </row>
    <row r="44" spans="2:12" x14ac:dyDescent="0.2">
      <c r="B44" vm="139">
        <f ca="1"/>
        <v>45292</v>
      </c>
      <c r="C44" vm="830">
        <f ca="1"/>
        <v>15.7</v>
      </c>
      <c r="D44" vm="141">
        <f ca="1"/>
        <v>482.88</v>
      </c>
      <c r="E44" vm="142">
        <f ca="1"/>
        <v>103.6875</v>
      </c>
      <c r="G44" s="3">
        <f t="shared" ca="1" si="0"/>
        <v>0.20491174213353799</v>
      </c>
      <c r="H44" s="3">
        <f t="shared" ca="1" si="0"/>
        <v>1.5926448002356344E-2</v>
      </c>
      <c r="I44" s="3">
        <f t="shared" ca="1" si="0"/>
        <v>-1.3967779391249041E-2</v>
      </c>
      <c r="K44" s="3">
        <f t="shared" ca="1" si="1"/>
        <v>0.21887952152478704</v>
      </c>
      <c r="L44" s="3">
        <f t="shared" ca="1" si="2"/>
        <v>2.9894227393605387E-2</v>
      </c>
    </row>
    <row r="45" spans="2:12" x14ac:dyDescent="0.2">
      <c r="B45" vm="143">
        <f ca="1"/>
        <v>45323</v>
      </c>
      <c r="C45" vm="831">
        <f ca="1"/>
        <v>14.85</v>
      </c>
      <c r="D45" vm="145">
        <f ca="1"/>
        <v>508.08</v>
      </c>
      <c r="E45" vm="146">
        <f ca="1"/>
        <v>97.875</v>
      </c>
      <c r="G45" s="3">
        <f t="shared" ca="1" si="0"/>
        <v>-5.4140127388535013E-2</v>
      </c>
      <c r="H45" s="3">
        <f t="shared" ca="1" si="0"/>
        <v>5.2186878727634174E-2</v>
      </c>
      <c r="I45" s="3">
        <f t="shared" ca="1" si="0"/>
        <v>-5.6057866184448461E-2</v>
      </c>
      <c r="K45" s="3">
        <f t="shared" ca="1" si="1"/>
        <v>1.9177387959134484E-3</v>
      </c>
      <c r="L45" s="3">
        <f t="shared" ca="1" si="2"/>
        <v>0.10824474491208264</v>
      </c>
    </row>
    <row r="46" spans="2:12" x14ac:dyDescent="0.2">
      <c r="B46" vm="147">
        <f ca="1"/>
        <v>45352</v>
      </c>
      <c r="C46" vm="832">
        <f ca="1"/>
        <v>13.47</v>
      </c>
      <c r="D46" vm="149">
        <f ca="1"/>
        <v>523.07000000000005</v>
      </c>
      <c r="E46" vm="150">
        <f ca="1"/>
        <v>98.468800000000002</v>
      </c>
      <c r="G46" s="3">
        <f t="shared" ca="1" si="0"/>
        <v>-9.2929292929292862E-2</v>
      </c>
      <c r="H46" s="3">
        <f t="shared" ca="1" si="0"/>
        <v>2.9503227838135856E-2</v>
      </c>
      <c r="I46" s="3">
        <f t="shared" ca="1" si="0"/>
        <v>6.0669220945083185E-3</v>
      </c>
      <c r="K46" s="3">
        <f t="shared" ca="1" si="1"/>
        <v>-9.8996215023801182E-2</v>
      </c>
      <c r="L46" s="3">
        <f t="shared" ca="1" si="2"/>
        <v>2.3436305743627539E-2</v>
      </c>
    </row>
    <row r="47" spans="2:12" x14ac:dyDescent="0.2">
      <c r="B47" vm="151">
        <f ca="1"/>
        <v>45383</v>
      </c>
      <c r="C47" vm="833">
        <f ca="1"/>
        <v>12.3</v>
      </c>
      <c r="D47" vm="153">
        <f ca="1"/>
        <v>501.98</v>
      </c>
      <c r="E47" vm="154">
        <f ca="1"/>
        <v>94.6875</v>
      </c>
      <c r="G47" s="3">
        <f t="shared" ca="1" si="0"/>
        <v>-8.6859688195991089E-2</v>
      </c>
      <c r="H47" s="3">
        <f t="shared" ca="1" si="0"/>
        <v>-4.031965128950242E-2</v>
      </c>
      <c r="I47" s="3">
        <f t="shared" ca="1" si="0"/>
        <v>-3.8400996051541215E-2</v>
      </c>
      <c r="K47" s="3">
        <f t="shared" ca="1" si="1"/>
        <v>-4.8458692144449873E-2</v>
      </c>
      <c r="L47" s="3">
        <f t="shared" ca="1" si="2"/>
        <v>-1.9186552379612046E-3</v>
      </c>
    </row>
    <row r="48" spans="2:12" x14ac:dyDescent="0.2">
      <c r="B48" vm="155">
        <f ca="1"/>
        <v>45413</v>
      </c>
      <c r="C48" vm="834">
        <f ca="1"/>
        <v>14.2</v>
      </c>
      <c r="D48" vm="157">
        <f ca="1"/>
        <v>527.37</v>
      </c>
      <c r="E48" vm="158">
        <f ca="1"/>
        <v>98.984399999999994</v>
      </c>
      <c r="G48" s="3">
        <f t="shared" ca="1" si="0"/>
        <v>0.15447154471544702</v>
      </c>
      <c r="H48" s="3">
        <f t="shared" ca="1" si="0"/>
        <v>5.0579704370692029E-2</v>
      </c>
      <c r="I48" s="3">
        <f t="shared" ca="1" si="0"/>
        <v>4.5379801980197955E-2</v>
      </c>
      <c r="K48" s="3">
        <f t="shared" ca="1" si="1"/>
        <v>0.10909174273524908</v>
      </c>
      <c r="L48" s="3">
        <f t="shared" ca="1" si="2"/>
        <v>5.1999023904940739E-3</v>
      </c>
    </row>
    <row r="49" spans="2:12" x14ac:dyDescent="0.2">
      <c r="B49" vm="159">
        <f ca="1"/>
        <v>45444</v>
      </c>
      <c r="C49" vm="835">
        <f ca="1"/>
        <v>13.33</v>
      </c>
      <c r="D49" vm="161">
        <f ca="1"/>
        <v>544.22</v>
      </c>
      <c r="E49" vm="162">
        <f ca="1"/>
        <v>99.671899999999994</v>
      </c>
      <c r="G49" s="3">
        <f t="shared" ca="1" si="0"/>
        <v>-6.1267605633802763E-2</v>
      </c>
      <c r="H49" s="3">
        <f t="shared" ca="1" si="0"/>
        <v>3.1951002142708199E-2</v>
      </c>
      <c r="I49" s="3">
        <f t="shared" ca="1" si="0"/>
        <v>6.9455388929972805E-3</v>
      </c>
      <c r="K49" s="3">
        <f t="shared" ca="1" si="1"/>
        <v>-6.8213144526800037E-2</v>
      </c>
      <c r="L49" s="3">
        <f t="shared" ca="1" si="2"/>
        <v>2.5005463249710917E-2</v>
      </c>
    </row>
    <row r="50" spans="2:12" x14ac:dyDescent="0.2">
      <c r="B50" vm="163">
        <f ca="1"/>
        <v>45474</v>
      </c>
      <c r="C50" vm="822">
        <f ca="1"/>
        <v>15.38</v>
      </c>
      <c r="D50" vm="165">
        <f ca="1"/>
        <v>550.80999999999995</v>
      </c>
      <c r="E50" vm="166">
        <f ca="1"/>
        <v>102.5313</v>
      </c>
      <c r="G50" s="3">
        <f t="shared" ca="1" si="0"/>
        <v>0.153788447111778</v>
      </c>
      <c r="H50" s="3">
        <f t="shared" ca="1" si="0"/>
        <v>1.210907353643732E-2</v>
      </c>
      <c r="I50" s="3">
        <f t="shared" ca="1" si="0"/>
        <v>2.8688125740554841E-2</v>
      </c>
      <c r="K50" s="3">
        <f t="shared" ca="1" si="1"/>
        <v>0.12510032137122315</v>
      </c>
      <c r="L50" s="3">
        <f t="shared" ca="1" si="2"/>
        <v>-1.6579052204117522E-2</v>
      </c>
    </row>
    <row r="51" spans="2:12" x14ac:dyDescent="0.2">
      <c r="B51" vm="167">
        <f ca="1"/>
        <v>45505</v>
      </c>
      <c r="C51" vm="836">
        <f ca="1"/>
        <v>13.92</v>
      </c>
      <c r="D51" vm="169">
        <f ca="1"/>
        <v>563.67999999999995</v>
      </c>
      <c r="E51" vm="170">
        <f ca="1"/>
        <v>99.718800000000002</v>
      </c>
      <c r="G51" s="3">
        <f t="shared" ca="1" si="0"/>
        <v>-9.4928478543563122E-2</v>
      </c>
      <c r="H51" s="3">
        <f t="shared" ca="1" si="0"/>
        <v>2.3365588860042495E-2</v>
      </c>
      <c r="I51" s="3">
        <f t="shared" ca="1" si="0"/>
        <v>-2.7430648006998837E-2</v>
      </c>
      <c r="K51" s="3">
        <f t="shared" ca="1" si="1"/>
        <v>-6.7497830536564288E-2</v>
      </c>
      <c r="L51" s="3">
        <f t="shared" ca="1" si="2"/>
        <v>5.0796236867041336E-2</v>
      </c>
    </row>
    <row r="52" spans="2:12" x14ac:dyDescent="0.2">
      <c r="B52" vm="171">
        <f ca="1"/>
        <v>45536</v>
      </c>
      <c r="C52" vm="136">
        <f ca="1"/>
        <v>15.3</v>
      </c>
      <c r="D52" vm="173">
        <f ca="1"/>
        <v>573.76</v>
      </c>
      <c r="E52" vm="174">
        <f ca="1"/>
        <v>100.79689999999999</v>
      </c>
      <c r="G52" s="3">
        <f t="shared" ca="1" si="0"/>
        <v>9.9137931034482818E-2</v>
      </c>
      <c r="H52" s="3">
        <f t="shared" ca="1" si="0"/>
        <v>1.7882486517172939E-2</v>
      </c>
      <c r="I52" s="3">
        <f t="shared" ca="1" si="0"/>
        <v>1.081140166147198E-2</v>
      </c>
      <c r="K52" s="3">
        <f t="shared" ca="1" si="1"/>
        <v>8.8326529373010831E-2</v>
      </c>
      <c r="L52" s="3">
        <f t="shared" ca="1" si="2"/>
        <v>7.0710848557009598E-3</v>
      </c>
    </row>
    <row r="53" spans="2:12" x14ac:dyDescent="0.2">
      <c r="B53" vm="175">
        <f ca="1"/>
        <v>45566</v>
      </c>
      <c r="C53" vm="837">
        <f ca="1"/>
        <v>17.27</v>
      </c>
      <c r="D53" vm="177">
        <f ca="1"/>
        <v>568.64</v>
      </c>
      <c r="E53" vm="178">
        <f ca="1"/>
        <v>96.718800000000002</v>
      </c>
      <c r="G53" s="3">
        <f t="shared" ca="1" si="0"/>
        <v>0.12875816993464045</v>
      </c>
      <c r="H53" s="3">
        <f t="shared" ca="1" si="0"/>
        <v>-8.9235917456776427E-3</v>
      </c>
      <c r="I53" s="3">
        <f t="shared" ca="1" si="0"/>
        <v>-4.0458585531896241E-2</v>
      </c>
      <c r="K53" s="3">
        <f t="shared" ca="1" si="1"/>
        <v>0.16921675546653669</v>
      </c>
      <c r="L53" s="3">
        <f t="shared" ca="1" si="2"/>
        <v>3.1534993786218601E-2</v>
      </c>
    </row>
    <row r="54" spans="2:12" x14ac:dyDescent="0.2">
      <c r="B54" vm="179">
        <f ca="1"/>
        <v>45597</v>
      </c>
      <c r="C54" vm="838">
        <f ca="1"/>
        <v>18.32</v>
      </c>
      <c r="D54" vm="181">
        <f ca="1"/>
        <v>602.54999999999995</v>
      </c>
      <c r="E54" vm="182">
        <f ca="1"/>
        <v>100.57810000000001</v>
      </c>
      <c r="G54" s="3">
        <f t="shared" ca="1" si="0"/>
        <v>6.0799073537927087E-2</v>
      </c>
      <c r="H54" s="3">
        <f t="shared" ca="1" si="0"/>
        <v>5.9633511536297076E-2</v>
      </c>
      <c r="I54" s="3">
        <f t="shared" ca="1" si="0"/>
        <v>3.990227339462446E-2</v>
      </c>
      <c r="K54" s="3">
        <f t="shared" ca="1" si="1"/>
        <v>2.0896800143302627E-2</v>
      </c>
      <c r="L54" s="3">
        <f t="shared" ca="1" si="2"/>
        <v>1.9731238141672616E-2</v>
      </c>
    </row>
    <row r="55" spans="2:12" x14ac:dyDescent="0.2">
      <c r="B55" vm="183">
        <f ca="1"/>
        <v>45627</v>
      </c>
      <c r="C55" vm="839">
        <f ca="1"/>
        <v>16.14</v>
      </c>
      <c r="D55" vm="185">
        <f ca="1"/>
        <v>586.08000000000004</v>
      </c>
      <c r="E55" vm="186">
        <f ca="1"/>
        <v>97.453100000000006</v>
      </c>
      <c r="G55" s="3">
        <f t="shared" ca="1" si="0"/>
        <v>-0.11899563318777291</v>
      </c>
      <c r="H55" s="3">
        <f t="shared" ca="1" si="0"/>
        <v>-2.7333831217326222E-2</v>
      </c>
      <c r="I55" s="3">
        <f t="shared" ca="1" si="0"/>
        <v>-3.1070382120958737E-2</v>
      </c>
      <c r="K55" s="3">
        <f t="shared" ca="1" si="1"/>
        <v>-8.7925251066814175E-2</v>
      </c>
      <c r="L55" s="3">
        <f t="shared" ca="1" si="2"/>
        <v>3.7365509036325142E-3</v>
      </c>
    </row>
    <row r="56" spans="2:12" x14ac:dyDescent="0.2">
      <c r="B56" vm="187">
        <f ca="1"/>
        <v>45658</v>
      </c>
      <c r="C56" vm="840">
        <f ca="1"/>
        <v>14.65</v>
      </c>
      <c r="D56" vm="189">
        <f ca="1"/>
        <v>601.82000000000005</v>
      </c>
      <c r="E56" vm="30">
        <f ca="1"/>
        <v>97.703100000000006</v>
      </c>
      <c r="G56" s="3">
        <f t="shared" ca="1" si="0"/>
        <v>-9.2317224287484526E-2</v>
      </c>
      <c r="H56" s="3">
        <f t="shared" ca="1" si="0"/>
        <v>2.6856401856401872E-2</v>
      </c>
      <c r="I56" s="3">
        <f t="shared" ca="1" si="0"/>
        <v>2.5653365567642281E-3</v>
      </c>
      <c r="K56" s="3">
        <f t="shared" ca="1" si="1"/>
        <v>-9.4882560844248759E-2</v>
      </c>
      <c r="L56" s="3">
        <f t="shared" ca="1" si="2"/>
        <v>2.4291065299637642E-2</v>
      </c>
    </row>
    <row r="57" spans="2:12" x14ac:dyDescent="0.2">
      <c r="B57" vm="190">
        <f ca="1"/>
        <v>45689</v>
      </c>
      <c r="C57" vm="841">
        <f ca="1"/>
        <v>14.52</v>
      </c>
      <c r="D57" vm="192">
        <f ca="1"/>
        <v>594.17999999999995</v>
      </c>
      <c r="E57" vm="193">
        <f ca="1"/>
        <v>103.4063</v>
      </c>
      <c r="G57" s="3">
        <f t="shared" ca="1" si="0"/>
        <v>-8.8737201365188239E-3</v>
      </c>
      <c r="H57" s="3">
        <f t="shared" ca="1" si="0"/>
        <v>-1.2694825695390814E-2</v>
      </c>
      <c r="I57" s="3">
        <f t="shared" ca="1" si="0"/>
        <v>5.8372764016699524E-2</v>
      </c>
      <c r="K57" s="3">
        <f t="shared" ca="1" si="1"/>
        <v>-6.724648415321835E-2</v>
      </c>
      <c r="L57" s="3">
        <f t="shared" ca="1" si="2"/>
        <v>-7.1067589712090345E-2</v>
      </c>
    </row>
    <row r="58" spans="2:12" x14ac:dyDescent="0.2">
      <c r="B58" vm="194">
        <f ca="1"/>
        <v>45717</v>
      </c>
      <c r="C58" vm="164">
        <f ca="1"/>
        <v>15.93</v>
      </c>
      <c r="D58" vm="195">
        <f ca="1"/>
        <v>559.39</v>
      </c>
      <c r="E58" vm="196">
        <f ca="1"/>
        <v>103.32810000000001</v>
      </c>
      <c r="G58" s="3">
        <f t="shared" ca="1" si="0"/>
        <v>9.7107438016528935E-2</v>
      </c>
      <c r="H58" s="3">
        <f t="shared" ca="1" si="0"/>
        <v>-5.8551280756673006E-2</v>
      </c>
      <c r="I58" s="3">
        <f t="shared" ca="1" si="0"/>
        <v>-7.5624019039454446E-4</v>
      </c>
      <c r="K58" s="3">
        <f t="shared" ca="1" si="1"/>
        <v>9.7863678206923474E-2</v>
      </c>
      <c r="L58" s="3">
        <f t="shared" ca="1" si="2"/>
        <v>-5.7795040566278461E-2</v>
      </c>
    </row>
    <row r="59" spans="2:12" x14ac:dyDescent="0.2">
      <c r="B59" vm="197">
        <f ca="1"/>
        <v>45748</v>
      </c>
      <c r="C59" vm="842">
        <f ca="1"/>
        <v>14.4</v>
      </c>
      <c r="D59" vm="199">
        <f ca="1"/>
        <v>554.54</v>
      </c>
      <c r="E59" vm="200">
        <f ca="1"/>
        <v>103.5313</v>
      </c>
      <c r="G59" s="3">
        <f t="shared" ca="1" si="0"/>
        <v>-9.6045197740112956E-2</v>
      </c>
      <c r="H59" s="3">
        <f t="shared" ca="1" si="0"/>
        <v>-8.6701585655804044E-3</v>
      </c>
      <c r="I59" s="3">
        <f t="shared" ca="1" si="0"/>
        <v>1.9665512092063571E-3</v>
      </c>
      <c r="K59" s="3">
        <f t="shared" ca="1" si="1"/>
        <v>-9.8011748949319313E-2</v>
      </c>
      <c r="L59" s="3">
        <f t="shared" ca="1" si="2"/>
        <v>-1.0636709774786762E-2</v>
      </c>
    </row>
    <row r="60" spans="2:12" x14ac:dyDescent="0.2">
      <c r="B60" vm="201">
        <f ca="1"/>
        <v>45778</v>
      </c>
      <c r="C60" vm="843">
        <f ca="1"/>
        <v>14.03</v>
      </c>
      <c r="D60" vm="203">
        <f ca="1"/>
        <v>589.39</v>
      </c>
      <c r="E60" vm="204">
        <f ca="1"/>
        <v>98.8125</v>
      </c>
      <c r="G60" s="3">
        <f t="shared" ca="1" si="0"/>
        <v>-2.5694444444444513E-2</v>
      </c>
      <c r="H60" s="3">
        <f t="shared" ca="1" si="0"/>
        <v>6.284488044144701E-2</v>
      </c>
      <c r="I60" s="3">
        <f t="shared" ca="1" si="0"/>
        <v>-4.5578486892369763E-2</v>
      </c>
      <c r="K60" s="3">
        <f t="shared" ca="1" si="1"/>
        <v>1.988404244792525E-2</v>
      </c>
      <c r="L60" s="3">
        <f t="shared" ca="1" si="2"/>
        <v>0.10842336733381677</v>
      </c>
    </row>
    <row r="61" spans="2:12" x14ac:dyDescent="0.2">
      <c r="B61" vm="205">
        <f ca="1"/>
        <v>45809</v>
      </c>
      <c r="C61" vm="823">
        <f ca="1"/>
        <v>13.82</v>
      </c>
      <c r="D61" vm="207">
        <f ca="1"/>
        <v>617.85</v>
      </c>
      <c r="E61" vm="15">
        <f ca="1"/>
        <v>100.14060000000001</v>
      </c>
      <c r="G61" s="3">
        <f t="shared" ca="1" si="0"/>
        <v>-1.4967925873128944E-2</v>
      </c>
      <c r="H61" s="3">
        <f t="shared" ca="1" si="0"/>
        <v>4.828721220244666E-2</v>
      </c>
      <c r="I61" s="3">
        <f t="shared" ca="1" si="0"/>
        <v>1.3440607210626249E-2</v>
      </c>
      <c r="K61" s="3">
        <f t="shared" ca="1" si="1"/>
        <v>-2.8408533083755193E-2</v>
      </c>
      <c r="L61" s="3">
        <f t="shared" ca="1" si="2"/>
        <v>3.4846604991820407E-2</v>
      </c>
    </row>
    <row r="62" spans="2:12" x14ac:dyDescent="0.2">
      <c r="B62" vm="208">
        <f ca="1"/>
        <v>45839</v>
      </c>
      <c r="C62" vm="844">
        <f ca="1"/>
        <v>14.46</v>
      </c>
      <c r="D62" vm="210">
        <f ca="1"/>
        <v>632.08000000000004</v>
      </c>
      <c r="E62" vm="211">
        <f ca="1"/>
        <v>98.953100000000006</v>
      </c>
      <c r="G62" s="3">
        <f t="shared" ca="1" si="0"/>
        <v>4.630969609261943E-2</v>
      </c>
      <c r="H62" s="3">
        <f t="shared" ca="1" si="0"/>
        <v>2.3031480132718326E-2</v>
      </c>
      <c r="I62" s="3">
        <f t="shared" ca="1" si="0"/>
        <v>-1.1858327191968093E-2</v>
      </c>
      <c r="K62" s="3">
        <f t="shared" ca="1" si="1"/>
        <v>5.8168023284587519E-2</v>
      </c>
      <c r="L62" s="3">
        <f t="shared" ca="1" si="2"/>
        <v>3.4889807324686418E-2</v>
      </c>
    </row>
    <row r="63" spans="2:12" x14ac:dyDescent="0.2">
      <c r="B63" vm="212">
        <f ca="1"/>
        <v>45870</v>
      </c>
      <c r="C63" vm="845">
        <f ca="1"/>
        <v>14.47</v>
      </c>
      <c r="D63" vm="214">
        <f ca="1"/>
        <v>645.04999999999995</v>
      </c>
      <c r="E63" vm="15">
        <f ca="1"/>
        <v>100.14060000000001</v>
      </c>
      <c r="G63" s="3">
        <f t="shared" ca="1" si="0"/>
        <v>6.9156293222681782E-4</v>
      </c>
      <c r="H63" s="3">
        <f t="shared" ca="1" si="0"/>
        <v>2.051955448677369E-2</v>
      </c>
      <c r="I63" s="3">
        <f t="shared" ca="1" si="0"/>
        <v>1.2000634644088966E-2</v>
      </c>
      <c r="K63" s="3">
        <f t="shared" ca="1" si="1"/>
        <v>-1.1309071711862148E-2</v>
      </c>
      <c r="L63" s="3">
        <f t="shared" ca="1" si="2"/>
        <v>8.5189198426847239E-3</v>
      </c>
    </row>
    <row r="64" spans="2:12" x14ac:dyDescent="0.2">
      <c r="B64" vm="215">
        <f ca="1"/>
        <v>45901</v>
      </c>
      <c r="C64" vm="846">
        <f ca="1"/>
        <v>15.1</v>
      </c>
      <c r="D64" vm="217">
        <f ca="1"/>
        <v>666.18</v>
      </c>
      <c r="E64" vm="218">
        <f ca="1"/>
        <v>100.75</v>
      </c>
      <c r="G64" s="3">
        <f t="shared" ca="1" si="0"/>
        <v>4.3538355217691706E-2</v>
      </c>
      <c r="H64" s="3">
        <f t="shared" ca="1" si="0"/>
        <v>3.275715060847996E-2</v>
      </c>
      <c r="I64" s="3">
        <f t="shared" ca="1" si="0"/>
        <v>6.085443865924447E-3</v>
      </c>
      <c r="K64" s="3">
        <f t="shared" ca="1" si="1"/>
        <v>3.745291135176726E-2</v>
      </c>
      <c r="L64" s="3">
        <f t="shared" ca="1" si="2"/>
        <v>2.6671706742555513E-2</v>
      </c>
    </row>
    <row r="65" spans="2:12" x14ac:dyDescent="0.2">
      <c r="B65" vm="219">
        <f ca="1"/>
        <v>45931</v>
      </c>
      <c r="C65" vm="847">
        <f ca="1"/>
        <v>13.66</v>
      </c>
      <c r="D65" vm="221">
        <f ca="1"/>
        <v>682.06</v>
      </c>
      <c r="E65" vm="222">
        <f ca="1"/>
        <v>101.32810000000001</v>
      </c>
      <c r="G65" s="3">
        <f t="shared" ca="1" si="0"/>
        <v>-9.5364238410595992E-2</v>
      </c>
      <c r="H65" s="3">
        <f t="shared" ca="1" si="0"/>
        <v>2.3837401302951148E-2</v>
      </c>
      <c r="I65" s="3">
        <f t="shared" ca="1" si="0"/>
        <v>5.7379652605459679E-3</v>
      </c>
      <c r="K65" s="3">
        <f t="shared" ca="1" si="1"/>
        <v>-0.10110220367114196</v>
      </c>
      <c r="L65" s="3">
        <f t="shared" ca="1" si="2"/>
        <v>1.809943604240518E-2</v>
      </c>
    </row>
    <row r="66" spans="2:12" x14ac:dyDescent="0.2">
      <c r="B66" vm="223">
        <f ca="1"/>
        <v>45962</v>
      </c>
      <c r="C66" vm="848">
        <f ca="1"/>
        <v>15.76</v>
      </c>
      <c r="D66" vm="225">
        <f ca="1"/>
        <v>683.39</v>
      </c>
      <c r="E66" vm="226">
        <f ca="1"/>
        <v>99.859399999999994</v>
      </c>
      <c r="G66" s="3">
        <f t="shared" ca="1" si="0"/>
        <v>0.15373352855051242</v>
      </c>
      <c r="H66" s="3">
        <f t="shared" ca="1" si="0"/>
        <v>1.9499750755066138E-3</v>
      </c>
      <c r="I66" s="3">
        <f t="shared" ca="1" si="0"/>
        <v>-1.4494498564564149E-2</v>
      </c>
      <c r="K66" s="3">
        <f t="shared" ca="1" si="1"/>
        <v>0.16822802711507656</v>
      </c>
      <c r="L66" s="3">
        <f t="shared" ca="1" si="2"/>
        <v>1.6444473640070761E-2</v>
      </c>
    </row>
    <row r="67" spans="2:12" x14ac:dyDescent="0.2">
      <c r="B67" vm="227">
        <f ca="1"/>
        <v>45992</v>
      </c>
      <c r="C67" vm="136">
        <f ca="1"/>
        <v>15.3</v>
      </c>
      <c r="D67" vm="229">
        <f ca="1"/>
        <v>681.92</v>
      </c>
      <c r="E67" vm="230">
        <f ca="1"/>
        <v>98.6875</v>
      </c>
      <c r="G67" s="3">
        <f t="shared" ca="1" si="0"/>
        <v>-2.9187817258883191E-2</v>
      </c>
      <c r="H67" s="3">
        <f t="shared" ca="1" si="0"/>
        <v>-2.151041133174362E-3</v>
      </c>
      <c r="I67" s="3">
        <f t="shared" ca="1" si="0"/>
        <v>-1.1735500113159039E-2</v>
      </c>
      <c r="K67" s="3">
        <f t="shared" ca="1" si="1"/>
        <v>-1.745231714572415E-2</v>
      </c>
      <c r="L67" s="3">
        <f t="shared" ca="1" si="2"/>
        <v>9.5844589799846773E-3</v>
      </c>
    </row>
    <row r="68" spans="2:12" x14ac:dyDescent="0.2">
      <c r="B68" vm="231">
        <f ca="1"/>
        <v>46023</v>
      </c>
      <c r="C68" vm="128">
        <f ca="1"/>
        <v>14.51</v>
      </c>
      <c r="D68" vm="233">
        <f ca="1"/>
        <v>691.97</v>
      </c>
      <c r="E68" vm="234">
        <f ca="1"/>
        <v>98.078100000000006</v>
      </c>
      <c r="G68" s="3">
        <f t="shared" ca="1" si="0"/>
        <v>-5.1633986928104635E-2</v>
      </c>
      <c r="H68" s="3">
        <f t="shared" ca="1" si="0"/>
        <v>1.4737799155326239E-2</v>
      </c>
      <c r="I68" s="3">
        <f t="shared" ca="1" si="0"/>
        <v>-6.1750474984166555E-3</v>
      </c>
      <c r="K68" s="3">
        <f t="shared" ca="1" si="1"/>
        <v>-4.5458939429687976E-2</v>
      </c>
      <c r="L68" s="3">
        <f t="shared" ca="1" si="2"/>
        <v>2.0912846653742895E-2</v>
      </c>
    </row>
    <row r="69" spans="2:12" x14ac:dyDescent="0.2">
      <c r="B69" vm="235">
        <f ca="1"/>
        <v>46054</v>
      </c>
      <c r="C69" vm="849">
        <f ca="1"/>
        <v>16.34</v>
      </c>
      <c r="D69" vm="237">
        <f ca="1"/>
        <v>685.99</v>
      </c>
      <c r="E69" vm="238">
        <f ca="1"/>
        <v>101.4375</v>
      </c>
      <c r="G69" s="3">
        <f t="shared" ca="1" si="0"/>
        <v>0.1261199172984149</v>
      </c>
      <c r="H69" s="3">
        <f t="shared" ca="1" si="0"/>
        <v>-8.6419931499920784E-3</v>
      </c>
      <c r="I69" s="3">
        <f t="shared" ca="1" si="0"/>
        <v>3.4252294854814617E-2</v>
      </c>
      <c r="K69" s="3">
        <f t="shared" ca="1" si="1"/>
        <v>9.1867622443600278E-2</v>
      </c>
      <c r="L69" s="3">
        <f t="shared" ca="1" si="2"/>
        <v>-4.2894288004806699E-2</v>
      </c>
    </row>
    <row r="70" spans="2:12" x14ac:dyDescent="0.2">
      <c r="B70" vm="239">
        <f ca="1"/>
        <v>46082</v>
      </c>
      <c r="C70" vm="850">
        <f ca="1"/>
        <v>14.09</v>
      </c>
      <c r="D70" vm="241">
        <f ca="1"/>
        <v>662.29</v>
      </c>
      <c r="E70" vm="242">
        <f ca="1"/>
        <v>98.734399999999994</v>
      </c>
      <c r="G70" s="3">
        <f t="shared" ca="1" si="0"/>
        <v>-0.13769889840881272</v>
      </c>
      <c r="H70" s="3">
        <f t="shared" ca="1" si="0"/>
        <v>-3.4548608580300073E-2</v>
      </c>
      <c r="I70" s="3">
        <f t="shared" ca="1" si="0"/>
        <v>-2.6647935921133764E-2</v>
      </c>
      <c r="K70" s="3">
        <f t="shared" ca="1" si="1"/>
        <v>-0.11105096248767896</v>
      </c>
      <c r="L70" s="3">
        <f t="shared" ca="1" si="2"/>
        <v>-7.9006726591663093E-3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5B96D-38DC-4D98-B68A-A72C9E64FA5D}">
  <dimension ref="B2:L70"/>
  <sheetViews>
    <sheetView workbookViewId="0">
      <selection activeCell="O22" sqref="O22"/>
    </sheetView>
  </sheetViews>
  <sheetFormatPr baseColWidth="10" defaultColWidth="8.83203125" defaultRowHeight="15" x14ac:dyDescent="0.2"/>
  <cols>
    <col min="2" max="2" width="10.83203125" bestFit="1" customWidth="1"/>
    <col min="3" max="3" width="10.83203125" customWidth="1"/>
    <col min="4" max="4" width="12" bestFit="1" customWidth="1"/>
    <col min="5" max="5" width="10.5" bestFit="1" customWidth="1"/>
    <col min="11" max="11" width="10.5" customWidth="1"/>
  </cols>
  <sheetData>
    <row r="2" spans="2:12" x14ac:dyDescent="0.2">
      <c r="B2" t="e" vm="851">
        <v>#VALUE!</v>
      </c>
      <c r="G2" s="7" t="s">
        <v>238</v>
      </c>
      <c r="H2" s="7">
        <f ca="1">INDEX(LINEST(K11:K70,L11:L70,1,1),1,1)</f>
        <v>0.43460017715103816</v>
      </c>
    </row>
    <row r="3" spans="2:12" x14ac:dyDescent="0.2">
      <c r="B3" t="e" vm="3">
        <v>#VALUE!</v>
      </c>
      <c r="G3" s="7" t="s">
        <v>239</v>
      </c>
      <c r="H3" s="61">
        <f ca="1">INDEX(LINEST(K11:K70,L11:L70,1,1),2,1)</f>
        <v>0.66792197026581601</v>
      </c>
    </row>
    <row r="4" spans="2:12" x14ac:dyDescent="0.2">
      <c r="B4" t="e" vm="1">
        <v>#VALUE!</v>
      </c>
    </row>
    <row r="6" spans="2:12" x14ac:dyDescent="0.2">
      <c r="B6" s="50">
        <v>44256</v>
      </c>
      <c r="C6" s="50"/>
    </row>
    <row r="7" spans="2:12" x14ac:dyDescent="0.2">
      <c r="B7" s="50">
        <v>46082</v>
      </c>
      <c r="C7" s="50"/>
    </row>
    <row r="9" spans="2:12" x14ac:dyDescent="0.2">
      <c r="C9" t="s">
        <v>240</v>
      </c>
      <c r="D9" t="s">
        <v>241</v>
      </c>
      <c r="E9" t="s">
        <v>242</v>
      </c>
    </row>
    <row r="10" spans="2:12" x14ac:dyDescent="0.2">
      <c r="B10" cm="1" vm="4">
        <f t="array" aca="1" ref="B10:C70" ca="1">_xlfn.STOCKHISTORY(B2,$B$6,$B$7,2,0)</f>
        <v>44256</v>
      </c>
      <c r="C10" vm="852">
        <f ca="1"/>
        <v>14.4856</v>
      </c>
      <c r="D10" cm="1" vm="6">
        <f t="array" aca="1" ref="D10:D70" ca="1">_xlfn.STOCKHISTORY(B3,$B$6,$B$7,2,0,1)</f>
        <v>396.33</v>
      </c>
      <c r="E10" cm="1" vm="7">
        <f t="array" aca="1" ref="E10:E70" ca="1">_xlfn.STOCKHISTORY(B4,$B$6,$B$7,2,0,1)</f>
        <v>94.484399999999994</v>
      </c>
      <c r="G10" t="s">
        <v>243</v>
      </c>
      <c r="H10" t="s">
        <v>244</v>
      </c>
      <c r="I10" t="s">
        <v>245</v>
      </c>
      <c r="K10" t="s">
        <v>246</v>
      </c>
      <c r="L10" t="s">
        <v>247</v>
      </c>
    </row>
    <row r="11" spans="2:12" x14ac:dyDescent="0.2">
      <c r="B11" vm="8">
        <f ca="1"/>
        <v>44287</v>
      </c>
      <c r="C11" vm="853">
        <f ca="1"/>
        <v>16.252199999999998</v>
      </c>
      <c r="D11" vm="10">
        <f ca="1"/>
        <v>417.3</v>
      </c>
      <c r="E11" vm="11">
        <f ca="1"/>
        <v>95.484399999999994</v>
      </c>
      <c r="G11" s="3">
        <f ca="1">(C11-C10)/C10</f>
        <v>0.12195559728281871</v>
      </c>
      <c r="H11" s="3">
        <f ca="1">(D11-D10)/D10</f>
        <v>5.291045341003716E-2</v>
      </c>
      <c r="I11" s="3">
        <f ca="1">(E11-E10)/E10</f>
        <v>1.0583757742018789E-2</v>
      </c>
      <c r="K11" s="3">
        <f ca="1">G11-I11</f>
        <v>0.11137183954079992</v>
      </c>
      <c r="L11" s="3">
        <f ca="1">H11-I11</f>
        <v>4.2326695668018374E-2</v>
      </c>
    </row>
    <row r="12" spans="2:12" x14ac:dyDescent="0.2">
      <c r="B12" vm="12">
        <f ca="1"/>
        <v>44317</v>
      </c>
      <c r="C12" vm="854">
        <f ca="1"/>
        <v>15.944000000000001</v>
      </c>
      <c r="D12" vm="14">
        <f ca="1"/>
        <v>420.04</v>
      </c>
      <c r="E12" vm="15">
        <f ca="1"/>
        <v>100.14060000000001</v>
      </c>
      <c r="G12" s="3">
        <f t="shared" ref="G12:I70" ca="1" si="0">(C12-C11)/C11</f>
        <v>-1.8963586468293377E-2</v>
      </c>
      <c r="H12" s="3">
        <f t="shared" ca="1" si="0"/>
        <v>6.566019650131821E-3</v>
      </c>
      <c r="I12" s="3">
        <f t="shared" ca="1" si="0"/>
        <v>4.8763986577912338E-2</v>
      </c>
      <c r="K12" s="3">
        <f t="shared" ref="K12:K70" ca="1" si="1">G12-I12</f>
        <v>-6.7727573046205719E-2</v>
      </c>
      <c r="L12" s="3">
        <f t="shared" ref="L12:L70" ca="1" si="2">H12-I12</f>
        <v>-4.2197966927780516E-2</v>
      </c>
    </row>
    <row r="13" spans="2:12" x14ac:dyDescent="0.2">
      <c r="B13" vm="16">
        <f ca="1"/>
        <v>44348</v>
      </c>
      <c r="C13" vm="855">
        <f ca="1"/>
        <v>15.3276</v>
      </c>
      <c r="D13" vm="18">
        <f ca="1"/>
        <v>428.06</v>
      </c>
      <c r="E13" vm="19">
        <f ca="1"/>
        <v>101.4063</v>
      </c>
      <c r="G13" s="3">
        <f t="shared" ca="1" si="0"/>
        <v>-3.8660311088810864E-2</v>
      </c>
      <c r="H13" s="3">
        <f t="shared" ca="1" si="0"/>
        <v>1.9093419674316686E-2</v>
      </c>
      <c r="I13" s="3">
        <f t="shared" ca="1" si="0"/>
        <v>1.2639229243683334E-2</v>
      </c>
      <c r="K13" s="3">
        <f t="shared" ca="1" si="1"/>
        <v>-5.1299540332494196E-2</v>
      </c>
      <c r="L13" s="3">
        <f t="shared" ca="1" si="2"/>
        <v>6.4541904306333522E-3</v>
      </c>
    </row>
    <row r="14" spans="2:12" x14ac:dyDescent="0.2">
      <c r="B14" vm="20">
        <f ca="1"/>
        <v>44378</v>
      </c>
      <c r="C14" vm="856">
        <f ca="1"/>
        <v>14.3428</v>
      </c>
      <c r="D14" vm="22">
        <f ca="1"/>
        <v>438.51</v>
      </c>
      <c r="E14" vm="23">
        <f ca="1"/>
        <v>103.67189999999999</v>
      </c>
      <c r="G14" s="3">
        <f t="shared" ca="1" si="0"/>
        <v>-6.4250110911036287E-2</v>
      </c>
      <c r="H14" s="3">
        <f t="shared" ca="1" si="0"/>
        <v>2.4412465542213681E-2</v>
      </c>
      <c r="I14" s="3">
        <f t="shared" ca="1" si="0"/>
        <v>2.2341807165826896E-2</v>
      </c>
      <c r="K14" s="3">
        <f t="shared" ca="1" si="1"/>
        <v>-8.6591918076863186E-2</v>
      </c>
      <c r="L14" s="3">
        <f t="shared" ca="1" si="2"/>
        <v>2.0706583763867858E-3</v>
      </c>
    </row>
    <row r="15" spans="2:12" x14ac:dyDescent="0.2">
      <c r="B15" vm="24">
        <f ca="1"/>
        <v>44409</v>
      </c>
      <c r="C15" vm="857">
        <f ca="1"/>
        <v>13.9369</v>
      </c>
      <c r="D15" vm="25">
        <f ca="1"/>
        <v>451.56</v>
      </c>
      <c r="E15" vm="26">
        <f ca="1"/>
        <v>99.406300000000002</v>
      </c>
      <c r="G15" s="3">
        <f t="shared" ca="1" si="0"/>
        <v>-2.8299913545472347E-2</v>
      </c>
      <c r="H15" s="3">
        <f t="shared" ca="1" si="0"/>
        <v>2.9759868646097035E-2</v>
      </c>
      <c r="I15" s="3">
        <f t="shared" ca="1" si="0"/>
        <v>-4.1145189776593198E-2</v>
      </c>
      <c r="K15" s="3">
        <f t="shared" ca="1" si="1"/>
        <v>1.2845276231120851E-2</v>
      </c>
      <c r="L15" s="3">
        <f t="shared" ca="1" si="2"/>
        <v>7.0905058422690237E-2</v>
      </c>
    </row>
    <row r="16" spans="2:12" x14ac:dyDescent="0.2">
      <c r="B16" vm="27">
        <f ca="1"/>
        <v>44440</v>
      </c>
      <c r="C16" vm="858">
        <f ca="1"/>
        <v>13.5761</v>
      </c>
      <c r="D16" vm="29">
        <f ca="1"/>
        <v>429.14</v>
      </c>
      <c r="E16" vm="30">
        <f ca="1"/>
        <v>97.703100000000006</v>
      </c>
      <c r="G16" s="3">
        <f t="shared" ca="1" si="0"/>
        <v>-2.5888109981416194E-2</v>
      </c>
      <c r="H16" s="3">
        <f t="shared" ca="1" si="0"/>
        <v>-4.9650101869076126E-2</v>
      </c>
      <c r="I16" s="3">
        <f t="shared" ca="1" si="0"/>
        <v>-1.7133722912934041E-2</v>
      </c>
      <c r="K16" s="3">
        <f t="shared" ca="1" si="1"/>
        <v>-8.7543870684821529E-3</v>
      </c>
      <c r="L16" s="3">
        <f t="shared" ca="1" si="2"/>
        <v>-3.2516378956142081E-2</v>
      </c>
    </row>
    <row r="17" spans="2:12" x14ac:dyDescent="0.2">
      <c r="B17" vm="31">
        <f ca="1"/>
        <v>44470</v>
      </c>
      <c r="C17" vm="859">
        <f ca="1"/>
        <v>13.981999999999999</v>
      </c>
      <c r="D17" vm="33">
        <f ca="1"/>
        <v>459.25</v>
      </c>
      <c r="E17" vm="34">
        <f ca="1"/>
        <v>97.078100000000006</v>
      </c>
      <c r="G17" s="3">
        <f t="shared" ca="1" si="0"/>
        <v>2.9898129801636628E-2</v>
      </c>
      <c r="H17" s="3">
        <f t="shared" ca="1" si="0"/>
        <v>7.0163582979913347E-2</v>
      </c>
      <c r="I17" s="3">
        <f t="shared" ca="1" si="0"/>
        <v>-6.3969311106812365E-3</v>
      </c>
      <c r="K17" s="3">
        <f t="shared" ca="1" si="1"/>
        <v>3.6295060912317864E-2</v>
      </c>
      <c r="L17" s="3">
        <f t="shared" ca="1" si="2"/>
        <v>7.6560514090594584E-2</v>
      </c>
    </row>
    <row r="18" spans="2:12" x14ac:dyDescent="0.2">
      <c r="B18" vm="35">
        <f ca="1"/>
        <v>44501</v>
      </c>
      <c r="C18" vm="860">
        <f ca="1"/>
        <v>13.929399999999999</v>
      </c>
      <c r="D18" vm="37">
        <f ca="1"/>
        <v>455.56</v>
      </c>
      <c r="E18" vm="38">
        <f ca="1"/>
        <v>98.656300000000002</v>
      </c>
      <c r="G18" s="3">
        <f t="shared" ca="1" si="0"/>
        <v>-3.7619796881705036E-3</v>
      </c>
      <c r="H18" s="3">
        <f t="shared" ca="1" si="0"/>
        <v>-8.0348394120849168E-3</v>
      </c>
      <c r="I18" s="3">
        <f t="shared" ca="1" si="0"/>
        <v>1.6257013682797618E-2</v>
      </c>
      <c r="K18" s="3">
        <f t="shared" ca="1" si="1"/>
        <v>-2.0018993370968123E-2</v>
      </c>
      <c r="L18" s="3">
        <f t="shared" ca="1" si="2"/>
        <v>-2.4291853094882535E-2</v>
      </c>
    </row>
    <row r="19" spans="2:12" x14ac:dyDescent="0.2">
      <c r="B19" vm="39">
        <f ca="1"/>
        <v>44531</v>
      </c>
      <c r="C19" vm="861">
        <f ca="1"/>
        <v>14.5458</v>
      </c>
      <c r="D19" vm="41">
        <f ca="1"/>
        <v>474.96</v>
      </c>
      <c r="E19" vm="42">
        <f ca="1"/>
        <v>98.75</v>
      </c>
      <c r="G19" s="3">
        <f t="shared" ca="1" si="0"/>
        <v>4.4251726563958288E-2</v>
      </c>
      <c r="H19" s="3">
        <f t="shared" ca="1" si="0"/>
        <v>4.2584950390727842E-2</v>
      </c>
      <c r="I19" s="3">
        <f t="shared" ca="1" si="0"/>
        <v>9.4976195134014081E-4</v>
      </c>
      <c r="K19" s="3">
        <f t="shared" ca="1" si="1"/>
        <v>4.3301964612618149E-2</v>
      </c>
      <c r="L19" s="3">
        <f t="shared" ca="1" si="2"/>
        <v>4.1635188439387703E-2</v>
      </c>
    </row>
    <row r="20" spans="2:12" x14ac:dyDescent="0.2">
      <c r="B20" vm="43">
        <f ca="1"/>
        <v>44562</v>
      </c>
      <c r="C20" vm="862">
        <f ca="1"/>
        <v>15.410299999999999</v>
      </c>
      <c r="D20" vm="45">
        <f ca="1"/>
        <v>449.91</v>
      </c>
      <c r="E20" vm="46">
        <f ca="1"/>
        <v>96.296899999999994</v>
      </c>
      <c r="G20" s="3">
        <f t="shared" ca="1" si="0"/>
        <v>5.9432963467117628E-2</v>
      </c>
      <c r="H20" s="3">
        <f t="shared" ca="1" si="0"/>
        <v>-5.2741283476503191E-2</v>
      </c>
      <c r="I20" s="3">
        <f t="shared" ca="1" si="0"/>
        <v>-2.4841518987341837E-2</v>
      </c>
      <c r="K20" s="3">
        <f t="shared" ca="1" si="1"/>
        <v>8.4274482454459468E-2</v>
      </c>
      <c r="L20" s="3">
        <f t="shared" ca="1" si="2"/>
        <v>-2.7899764489161354E-2</v>
      </c>
    </row>
    <row r="21" spans="2:12" x14ac:dyDescent="0.2">
      <c r="B21" vm="47">
        <f ca="1"/>
        <v>44593</v>
      </c>
      <c r="C21" vm="863">
        <f ca="1"/>
        <v>16.7333</v>
      </c>
      <c r="D21" vm="49">
        <f ca="1"/>
        <v>436.63</v>
      </c>
      <c r="E21" vm="50">
        <f ca="1"/>
        <v>99.75</v>
      </c>
      <c r="G21" s="3">
        <f t="shared" ca="1" si="0"/>
        <v>8.5851670635873442E-2</v>
      </c>
      <c r="H21" s="3">
        <f t="shared" ca="1" si="0"/>
        <v>-2.9517014514013978E-2</v>
      </c>
      <c r="I21" s="3">
        <f t="shared" ca="1" si="0"/>
        <v>3.5858890576955293E-2</v>
      </c>
      <c r="K21" s="3">
        <f t="shared" ca="1" si="1"/>
        <v>4.9992780058918149E-2</v>
      </c>
      <c r="L21" s="3">
        <f t="shared" ca="1" si="2"/>
        <v>-6.5375905090969272E-2</v>
      </c>
    </row>
    <row r="22" spans="2:12" x14ac:dyDescent="0.2">
      <c r="B22" vm="51">
        <f ca="1"/>
        <v>44621</v>
      </c>
      <c r="C22" vm="864">
        <f ca="1"/>
        <v>15.628299999999999</v>
      </c>
      <c r="D22" vm="53">
        <f ca="1"/>
        <v>451.64</v>
      </c>
      <c r="E22" vm="54">
        <f ca="1"/>
        <v>95.8125</v>
      </c>
      <c r="G22" s="3">
        <f t="shared" ca="1" si="0"/>
        <v>-6.6035988119498276E-2</v>
      </c>
      <c r="H22" s="3">
        <f t="shared" ca="1" si="0"/>
        <v>3.4376932414172161E-2</v>
      </c>
      <c r="I22" s="3">
        <f t="shared" ca="1" si="0"/>
        <v>-3.9473684210526314E-2</v>
      </c>
      <c r="K22" s="3">
        <f t="shared" ca="1" si="1"/>
        <v>-2.6562303908971963E-2</v>
      </c>
      <c r="L22" s="3">
        <f t="shared" ca="1" si="2"/>
        <v>7.3850616624698467E-2</v>
      </c>
    </row>
    <row r="23" spans="2:12" x14ac:dyDescent="0.2">
      <c r="B23" vm="55">
        <f ca="1"/>
        <v>44652</v>
      </c>
      <c r="C23" vm="865">
        <f ca="1"/>
        <v>12.3733</v>
      </c>
      <c r="D23" vm="57">
        <f ca="1"/>
        <v>412</v>
      </c>
      <c r="E23" vm="58">
        <f ca="1"/>
        <v>91.015600000000006</v>
      </c>
      <c r="G23" s="3">
        <f t="shared" ca="1" si="0"/>
        <v>-0.20827601210624311</v>
      </c>
      <c r="H23" s="3">
        <f t="shared" ca="1" si="0"/>
        <v>-8.7769019573111298E-2</v>
      </c>
      <c r="I23" s="3">
        <f t="shared" ca="1" si="0"/>
        <v>-5.0065492498369148E-2</v>
      </c>
      <c r="K23" s="3">
        <f t="shared" ca="1" si="1"/>
        <v>-0.15821051960787397</v>
      </c>
      <c r="L23" s="3">
        <f t="shared" ca="1" si="2"/>
        <v>-3.7703527074742151E-2</v>
      </c>
    </row>
    <row r="24" spans="2:12" x14ac:dyDescent="0.2">
      <c r="B24" vm="59">
        <f ca="1"/>
        <v>44682</v>
      </c>
      <c r="C24" vm="866">
        <f ca="1"/>
        <v>11.9298</v>
      </c>
      <c r="D24" vm="61">
        <f ca="1"/>
        <v>412.93</v>
      </c>
      <c r="E24" vm="62">
        <f ca="1"/>
        <v>100.0938</v>
      </c>
      <c r="G24" s="3">
        <f t="shared" ca="1" si="0"/>
        <v>-3.5843307767531717E-2</v>
      </c>
      <c r="H24" s="3">
        <f t="shared" ca="1" si="0"/>
        <v>2.2572815533980746E-3</v>
      </c>
      <c r="I24" s="3">
        <f t="shared" ca="1" si="0"/>
        <v>9.9743340702033445E-2</v>
      </c>
      <c r="K24" s="3">
        <f t="shared" ca="1" si="1"/>
        <v>-0.13558664846956517</v>
      </c>
      <c r="L24" s="3">
        <f t="shared" ca="1" si="2"/>
        <v>-9.7486059148635368E-2</v>
      </c>
    </row>
    <row r="25" spans="2:12" x14ac:dyDescent="0.2">
      <c r="B25" vm="63">
        <f ca="1"/>
        <v>44713</v>
      </c>
      <c r="C25" vm="867">
        <f ca="1"/>
        <v>9.3739000000000008</v>
      </c>
      <c r="D25" vm="65">
        <f ca="1"/>
        <v>377.25</v>
      </c>
      <c r="E25" vm="66">
        <f ca="1"/>
        <v>98.796899999999994</v>
      </c>
      <c r="G25" s="3">
        <f t="shared" ca="1" si="0"/>
        <v>-0.21424499991617624</v>
      </c>
      <c r="H25" s="3">
        <f t="shared" ca="1" si="0"/>
        <v>-8.6406897052769244E-2</v>
      </c>
      <c r="I25" s="3">
        <f t="shared" ca="1" si="0"/>
        <v>-1.2956846478003712E-2</v>
      </c>
      <c r="K25" s="3">
        <f t="shared" ca="1" si="1"/>
        <v>-0.20128815343817252</v>
      </c>
      <c r="L25" s="3">
        <f t="shared" ca="1" si="2"/>
        <v>-7.345005057476553E-2</v>
      </c>
    </row>
    <row r="26" spans="2:12" x14ac:dyDescent="0.2">
      <c r="B26" vm="67">
        <f ca="1"/>
        <v>44743</v>
      </c>
      <c r="C26" vm="868">
        <f ca="1"/>
        <v>10.7195</v>
      </c>
      <c r="D26" vm="69">
        <f ca="1"/>
        <v>411.99</v>
      </c>
      <c r="E26" vm="70">
        <f ca="1"/>
        <v>101.7813</v>
      </c>
      <c r="G26" s="3">
        <f t="shared" ca="1" si="0"/>
        <v>0.14354750957445664</v>
      </c>
      <c r="H26" s="3">
        <f t="shared" ca="1" si="0"/>
        <v>9.2087475149105397E-2</v>
      </c>
      <c r="I26" s="3">
        <f t="shared" ca="1" si="0"/>
        <v>3.0207425536631291E-2</v>
      </c>
      <c r="K26" s="3">
        <f t="shared" ca="1" si="1"/>
        <v>0.11334008403782535</v>
      </c>
      <c r="L26" s="3">
        <f t="shared" ca="1" si="2"/>
        <v>6.1880049612474106E-2</v>
      </c>
    </row>
    <row r="27" spans="2:12" x14ac:dyDescent="0.2">
      <c r="B27" vm="71">
        <f ca="1"/>
        <v>44774</v>
      </c>
      <c r="C27" vm="869">
        <f ca="1"/>
        <v>11.238200000000001</v>
      </c>
      <c r="D27" vm="73">
        <f ca="1"/>
        <v>395.18</v>
      </c>
      <c r="E27" vm="74">
        <f ca="1"/>
        <v>96.234399999999994</v>
      </c>
      <c r="G27" s="3">
        <f t="shared" ca="1" si="0"/>
        <v>4.8388450953869191E-2</v>
      </c>
      <c r="H27" s="3">
        <f t="shared" ca="1" si="0"/>
        <v>-4.0801961212650797E-2</v>
      </c>
      <c r="I27" s="3">
        <f t="shared" ca="1" si="0"/>
        <v>-5.4498223151011119E-2</v>
      </c>
      <c r="K27" s="3">
        <f t="shared" ca="1" si="1"/>
        <v>0.10288667410488031</v>
      </c>
      <c r="L27" s="3">
        <f t="shared" ca="1" si="2"/>
        <v>1.3696261938360321E-2</v>
      </c>
    </row>
    <row r="28" spans="2:12" x14ac:dyDescent="0.2">
      <c r="B28" vm="75">
        <f ca="1"/>
        <v>44805</v>
      </c>
      <c r="C28" vm="870">
        <f ca="1"/>
        <v>8.4718999999999998</v>
      </c>
      <c r="D28" vm="77">
        <f ca="1"/>
        <v>357.18</v>
      </c>
      <c r="E28" vm="78">
        <f ca="1"/>
        <v>91.203100000000006</v>
      </c>
      <c r="G28" s="3">
        <f t="shared" ca="1" si="0"/>
        <v>-0.24615151892651857</v>
      </c>
      <c r="H28" s="3">
        <f t="shared" ca="1" si="0"/>
        <v>-9.615871248544966E-2</v>
      </c>
      <c r="I28" s="3">
        <f t="shared" ca="1" si="0"/>
        <v>-5.2281720465862394E-2</v>
      </c>
      <c r="K28" s="3">
        <f t="shared" ca="1" si="1"/>
        <v>-0.19386979846065616</v>
      </c>
      <c r="L28" s="3">
        <f t="shared" ca="1" si="2"/>
        <v>-4.3876992019587266E-2</v>
      </c>
    </row>
    <row r="29" spans="2:12" x14ac:dyDescent="0.2">
      <c r="B29" vm="79">
        <f ca="1"/>
        <v>44835</v>
      </c>
      <c r="C29" vm="871">
        <f ca="1"/>
        <v>10.6669</v>
      </c>
      <c r="D29" vm="81">
        <f ca="1"/>
        <v>386.21</v>
      </c>
      <c r="E29" vm="82">
        <f ca="1"/>
        <v>89.531300000000002</v>
      </c>
      <c r="G29" s="3">
        <f t="shared" ca="1" si="0"/>
        <v>0.25909182119713409</v>
      </c>
      <c r="H29" s="3">
        <f t="shared" ca="1" si="0"/>
        <v>8.1275547343076238E-2</v>
      </c>
      <c r="I29" s="3">
        <f t="shared" ca="1" si="0"/>
        <v>-1.8330517274083934E-2</v>
      </c>
      <c r="K29" s="3">
        <f t="shared" ca="1" si="1"/>
        <v>0.277422338471218</v>
      </c>
      <c r="L29" s="3">
        <f t="shared" ca="1" si="2"/>
        <v>9.9606064617160178E-2</v>
      </c>
    </row>
    <row r="30" spans="2:12" x14ac:dyDescent="0.2">
      <c r="B30" vm="83">
        <f ca="1"/>
        <v>44866</v>
      </c>
      <c r="C30" vm="872">
        <f ca="1"/>
        <v>11.2608</v>
      </c>
      <c r="D30" vm="85">
        <f ca="1"/>
        <v>407.68</v>
      </c>
      <c r="E30" vm="86">
        <f ca="1"/>
        <v>103.1875</v>
      </c>
      <c r="G30" s="3">
        <f t="shared" ca="1" si="0"/>
        <v>5.5676907067657863E-2</v>
      </c>
      <c r="H30" s="3">
        <f t="shared" ca="1" si="0"/>
        <v>5.5591517568162475E-2</v>
      </c>
      <c r="I30" s="3">
        <f t="shared" ca="1" si="0"/>
        <v>0.15252989736550232</v>
      </c>
      <c r="K30" s="3">
        <f t="shared" ca="1" si="1"/>
        <v>-9.6852990297844457E-2</v>
      </c>
      <c r="L30" s="3">
        <f t="shared" ca="1" si="2"/>
        <v>-9.6938379797339852E-2</v>
      </c>
    </row>
    <row r="31" spans="2:12" x14ac:dyDescent="0.2">
      <c r="B31" vm="87">
        <f ca="1"/>
        <v>44896</v>
      </c>
      <c r="C31" vm="873">
        <f ca="1"/>
        <v>9.9152000000000005</v>
      </c>
      <c r="D31" vm="89">
        <f ca="1"/>
        <v>382.43</v>
      </c>
      <c r="E31" vm="90">
        <f ca="1"/>
        <v>102</v>
      </c>
      <c r="G31" s="3">
        <f t="shared" ca="1" si="0"/>
        <v>-0.11949417448138669</v>
      </c>
      <c r="H31" s="3">
        <f t="shared" ca="1" si="0"/>
        <v>-6.1935832025117737E-2</v>
      </c>
      <c r="I31" s="3">
        <f t="shared" ca="1" si="0"/>
        <v>-1.1508176862507571E-2</v>
      </c>
      <c r="K31" s="3">
        <f t="shared" ca="1" si="1"/>
        <v>-0.10798599761887911</v>
      </c>
      <c r="L31" s="3">
        <f t="shared" ca="1" si="2"/>
        <v>-5.0427655162610163E-2</v>
      </c>
    </row>
    <row r="32" spans="2:12" x14ac:dyDescent="0.2">
      <c r="B32" vm="91">
        <f ca="1"/>
        <v>44927</v>
      </c>
      <c r="C32" vm="869">
        <f ca="1"/>
        <v>11.238200000000001</v>
      </c>
      <c r="D32" vm="93">
        <f ca="1"/>
        <v>406.48</v>
      </c>
      <c r="E32" vm="94">
        <f ca="1"/>
        <v>104.8438</v>
      </c>
      <c r="G32" s="3">
        <f t="shared" ca="1" si="0"/>
        <v>0.13343149911247382</v>
      </c>
      <c r="H32" s="3">
        <f t="shared" ca="1" si="0"/>
        <v>6.2887325785111026E-2</v>
      </c>
      <c r="I32" s="3">
        <f t="shared" ca="1" si="0"/>
        <v>2.7880392156862763E-2</v>
      </c>
      <c r="K32" s="3">
        <f t="shared" ca="1" si="1"/>
        <v>0.10555110695561105</v>
      </c>
      <c r="L32" s="3">
        <f t="shared" ca="1" si="2"/>
        <v>3.5006933628248263E-2</v>
      </c>
    </row>
    <row r="33" spans="2:12" x14ac:dyDescent="0.2">
      <c r="B33" vm="95">
        <f ca="1"/>
        <v>44958</v>
      </c>
      <c r="C33" vm="874">
        <f ca="1"/>
        <v>9.4867000000000008</v>
      </c>
      <c r="D33" vm="97">
        <f ca="1"/>
        <v>396.26</v>
      </c>
      <c r="E33" vm="98">
        <f ca="1"/>
        <v>96.531300000000002</v>
      </c>
      <c r="G33" s="3">
        <f t="shared" ca="1" si="0"/>
        <v>-0.15585236069833247</v>
      </c>
      <c r="H33" s="3">
        <f t="shared" ca="1" si="0"/>
        <v>-2.5142688447156138E-2</v>
      </c>
      <c r="I33" s="3">
        <f t="shared" ca="1" si="0"/>
        <v>-7.9284611965609791E-2</v>
      </c>
      <c r="K33" s="3">
        <f t="shared" ca="1" si="1"/>
        <v>-7.6567748732722679E-2</v>
      </c>
      <c r="L33" s="3">
        <f t="shared" ca="1" si="2"/>
        <v>5.414192351845365E-2</v>
      </c>
    </row>
    <row r="34" spans="2:12" x14ac:dyDescent="0.2">
      <c r="B34" vm="99">
        <f ca="1"/>
        <v>44986</v>
      </c>
      <c r="C34" vm="875">
        <f ca="1"/>
        <v>7.0736999999999997</v>
      </c>
      <c r="D34" vm="101">
        <f ca="1"/>
        <v>409.39</v>
      </c>
      <c r="E34" vm="102">
        <f ca="1"/>
        <v>100.2188</v>
      </c>
      <c r="G34" s="3">
        <f t="shared" ca="1" si="0"/>
        <v>-0.25435609853795321</v>
      </c>
      <c r="H34" s="3">
        <f t="shared" ca="1" si="0"/>
        <v>3.3134810477968998E-2</v>
      </c>
      <c r="I34" s="3">
        <f t="shared" ca="1" si="0"/>
        <v>3.8200044959510543E-2</v>
      </c>
      <c r="K34" s="3">
        <f t="shared" ca="1" si="1"/>
        <v>-0.29255614349746373</v>
      </c>
      <c r="L34" s="3">
        <f t="shared" ca="1" si="2"/>
        <v>-5.0652344815415445E-3</v>
      </c>
    </row>
    <row r="35" spans="2:12" x14ac:dyDescent="0.2">
      <c r="B35" vm="103">
        <f ca="1"/>
        <v>45017</v>
      </c>
      <c r="C35" vm="876">
        <f ca="1"/>
        <v>6.3369999999999997</v>
      </c>
      <c r="D35" vm="105">
        <f ca="1"/>
        <v>415.93</v>
      </c>
      <c r="E35" vm="106">
        <f ca="1"/>
        <v>100.42189999999999</v>
      </c>
      <c r="G35" s="3">
        <f t="shared" ca="1" si="0"/>
        <v>-0.10414634491143249</v>
      </c>
      <c r="H35" s="3">
        <f t="shared" ca="1" si="0"/>
        <v>1.5974987176042454E-2</v>
      </c>
      <c r="I35" s="3">
        <f t="shared" ca="1" si="0"/>
        <v>2.0265658738678975E-3</v>
      </c>
      <c r="K35" s="3">
        <f t="shared" ca="1" si="1"/>
        <v>-0.10617291078530039</v>
      </c>
      <c r="L35" s="3">
        <f t="shared" ca="1" si="2"/>
        <v>1.3948421302174557E-2</v>
      </c>
    </row>
    <row r="36" spans="2:12" x14ac:dyDescent="0.2">
      <c r="B36" vm="107">
        <f ca="1"/>
        <v>45047</v>
      </c>
      <c r="C36" vm="877">
        <f ca="1"/>
        <v>5.9236000000000004</v>
      </c>
      <c r="D36" vm="109">
        <f ca="1"/>
        <v>417.85</v>
      </c>
      <c r="E36" vm="110">
        <f ca="1"/>
        <v>97.8125</v>
      </c>
      <c r="G36" s="3">
        <f t="shared" ca="1" si="0"/>
        <v>-6.5235916048603335E-2</v>
      </c>
      <c r="H36" s="3">
        <f t="shared" ca="1" si="0"/>
        <v>4.6161613733080465E-3</v>
      </c>
      <c r="I36" s="3">
        <f t="shared" ca="1" si="0"/>
        <v>-2.5984371934806988E-2</v>
      </c>
      <c r="K36" s="3">
        <f t="shared" ca="1" si="1"/>
        <v>-3.9251544113796347E-2</v>
      </c>
      <c r="L36" s="3">
        <f t="shared" ca="1" si="2"/>
        <v>3.0600533308115033E-2</v>
      </c>
    </row>
    <row r="37" spans="2:12" x14ac:dyDescent="0.2">
      <c r="B37" vm="111">
        <f ca="1"/>
        <v>45078</v>
      </c>
      <c r="C37" vm="878">
        <f ca="1"/>
        <v>6.8781999999999996</v>
      </c>
      <c r="D37" vm="113">
        <f ca="1"/>
        <v>443.28</v>
      </c>
      <c r="E37" vm="114">
        <f ca="1"/>
        <v>96.203100000000006</v>
      </c>
      <c r="G37" s="3">
        <f t="shared" ca="1" si="0"/>
        <v>0.16115200216084799</v>
      </c>
      <c r="H37" s="3">
        <f t="shared" ca="1" si="0"/>
        <v>6.0859159985640655E-2</v>
      </c>
      <c r="I37" s="3">
        <f t="shared" ca="1" si="0"/>
        <v>-1.645392971246E-2</v>
      </c>
      <c r="K37" s="3">
        <f t="shared" ca="1" si="1"/>
        <v>0.17760593187330798</v>
      </c>
      <c r="L37" s="3">
        <f t="shared" ca="1" si="2"/>
        <v>7.7313089698100662E-2</v>
      </c>
    </row>
    <row r="38" spans="2:12" x14ac:dyDescent="0.2">
      <c r="B38" vm="115">
        <f ca="1"/>
        <v>45108</v>
      </c>
      <c r="C38" vm="879">
        <f ca="1"/>
        <v>7.4119999999999999</v>
      </c>
      <c r="D38" vm="117">
        <f ca="1"/>
        <v>457.79</v>
      </c>
      <c r="E38" vm="118">
        <f ca="1"/>
        <v>95.25</v>
      </c>
      <c r="G38" s="3">
        <f t="shared" ca="1" si="0"/>
        <v>7.7607513593672808E-2</v>
      </c>
      <c r="H38" s="3">
        <f t="shared" ca="1" si="0"/>
        <v>3.273326114419791E-2</v>
      </c>
      <c r="I38" s="3">
        <f t="shared" ca="1" si="0"/>
        <v>-9.9071651537217219E-3</v>
      </c>
      <c r="K38" s="3">
        <f t="shared" ca="1" si="1"/>
        <v>8.7514678747394534E-2</v>
      </c>
      <c r="L38" s="3">
        <f t="shared" ca="1" si="2"/>
        <v>4.2640426297919629E-2</v>
      </c>
    </row>
    <row r="39" spans="2:12" x14ac:dyDescent="0.2">
      <c r="B39" vm="119">
        <f ca="1"/>
        <v>45139</v>
      </c>
      <c r="C39" vm="880">
        <f ca="1"/>
        <v>5.7431000000000001</v>
      </c>
      <c r="D39" vm="121">
        <f ca="1"/>
        <v>450.35</v>
      </c>
      <c r="E39" vm="122">
        <f ca="1"/>
        <v>98.0625</v>
      </c>
      <c r="G39" s="3">
        <f t="shared" ca="1" si="0"/>
        <v>-0.22516189962223421</v>
      </c>
      <c r="H39" s="3">
        <f t="shared" ca="1" si="0"/>
        <v>-1.6251993272024284E-2</v>
      </c>
      <c r="I39" s="3">
        <f t="shared" ca="1" si="0"/>
        <v>2.952755905511811E-2</v>
      </c>
      <c r="K39" s="3">
        <f t="shared" ca="1" si="1"/>
        <v>-0.25468945867735232</v>
      </c>
      <c r="L39" s="3">
        <f t="shared" ca="1" si="2"/>
        <v>-4.5779552327142398E-2</v>
      </c>
    </row>
    <row r="40" spans="2:12" x14ac:dyDescent="0.2">
      <c r="B40" vm="123">
        <f ca="1"/>
        <v>45170</v>
      </c>
      <c r="C40" vm="881">
        <f ca="1"/>
        <v>4.1193999999999997</v>
      </c>
      <c r="D40" vm="125">
        <f ca="1"/>
        <v>427.48</v>
      </c>
      <c r="E40" vm="126">
        <f ca="1"/>
        <v>94.453100000000006</v>
      </c>
      <c r="G40" s="3">
        <f t="shared" ca="1" si="0"/>
        <v>-0.28272187494558693</v>
      </c>
      <c r="H40" s="3">
        <f t="shared" ca="1" si="0"/>
        <v>-5.0782724547574119E-2</v>
      </c>
      <c r="I40" s="3">
        <f t="shared" ca="1" si="0"/>
        <v>-3.6807138304652584E-2</v>
      </c>
      <c r="K40" s="3">
        <f t="shared" ca="1" si="1"/>
        <v>-0.24591473664093433</v>
      </c>
      <c r="L40" s="3">
        <f t="shared" ca="1" si="2"/>
        <v>-1.3975586242921535E-2</v>
      </c>
    </row>
    <row r="41" spans="2:12" x14ac:dyDescent="0.2">
      <c r="B41" vm="127">
        <f ca="1"/>
        <v>45200</v>
      </c>
      <c r="C41" vm="882">
        <f ca="1"/>
        <v>4.1119000000000003</v>
      </c>
      <c r="D41" vm="129">
        <f ca="1"/>
        <v>418.2</v>
      </c>
      <c r="E41" vm="130">
        <f ca="1"/>
        <v>91.890600000000006</v>
      </c>
      <c r="G41" s="3">
        <f t="shared" ca="1" si="0"/>
        <v>-1.8206534932270226E-3</v>
      </c>
      <c r="H41" s="3">
        <f t="shared" ca="1" si="0"/>
        <v>-2.1708617947038527E-2</v>
      </c>
      <c r="I41" s="3">
        <f t="shared" ca="1" si="0"/>
        <v>-2.7129866568699174E-2</v>
      </c>
      <c r="K41" s="3">
        <f t="shared" ca="1" si="1"/>
        <v>2.530921307547215E-2</v>
      </c>
      <c r="L41" s="3">
        <f t="shared" ca="1" si="2"/>
        <v>5.4212486216606466E-3</v>
      </c>
    </row>
    <row r="42" spans="2:12" x14ac:dyDescent="0.2">
      <c r="B42" vm="131">
        <f ca="1"/>
        <v>45231</v>
      </c>
      <c r="C42" vm="883">
        <f ca="1"/>
        <v>5.1943999999999999</v>
      </c>
      <c r="D42" vm="133">
        <f ca="1"/>
        <v>456.4</v>
      </c>
      <c r="E42" vm="134">
        <f ca="1"/>
        <v>102.01560000000001</v>
      </c>
      <c r="G42" s="3">
        <f t="shared" ca="1" si="0"/>
        <v>0.26326029329507028</v>
      </c>
      <c r="H42" s="3">
        <f t="shared" ca="1" si="0"/>
        <v>9.134385461501672E-2</v>
      </c>
      <c r="I42" s="3">
        <f t="shared" ca="1" si="0"/>
        <v>0.11018537260612075</v>
      </c>
      <c r="K42" s="3">
        <f t="shared" ca="1" si="1"/>
        <v>0.15307492068894951</v>
      </c>
      <c r="L42" s="3">
        <f t="shared" ca="1" si="2"/>
        <v>-1.8841517991104034E-2</v>
      </c>
    </row>
    <row r="43" spans="2:12" x14ac:dyDescent="0.2">
      <c r="B43" vm="135">
        <f ca="1"/>
        <v>45261</v>
      </c>
      <c r="C43" vm="884">
        <f ca="1"/>
        <v>6.0061999999999998</v>
      </c>
      <c r="D43" vm="137">
        <f ca="1"/>
        <v>475.31</v>
      </c>
      <c r="E43" vm="138">
        <f ca="1"/>
        <v>105.1563</v>
      </c>
      <c r="G43" s="3">
        <f t="shared" ca="1" si="0"/>
        <v>0.15628369012782994</v>
      </c>
      <c r="H43" s="3">
        <f t="shared" ca="1" si="0"/>
        <v>4.1432953549518023E-2</v>
      </c>
      <c r="I43" s="3">
        <f t="shared" ca="1" si="0"/>
        <v>3.0786467951960241E-2</v>
      </c>
      <c r="K43" s="3">
        <f t="shared" ca="1" si="1"/>
        <v>0.1254972221758697</v>
      </c>
      <c r="L43" s="3">
        <f t="shared" ca="1" si="2"/>
        <v>1.0646485597557782E-2</v>
      </c>
    </row>
    <row r="44" spans="2:12" x14ac:dyDescent="0.2">
      <c r="B44" vm="139">
        <f ca="1"/>
        <v>45292</v>
      </c>
      <c r="C44" vm="885">
        <f ca="1"/>
        <v>5.9912000000000001</v>
      </c>
      <c r="D44" vm="141">
        <f ca="1"/>
        <v>482.88</v>
      </c>
      <c r="E44" vm="142">
        <f ca="1"/>
        <v>103.6875</v>
      </c>
      <c r="G44" s="3">
        <f t="shared" ca="1" si="0"/>
        <v>-2.4974193333554794E-3</v>
      </c>
      <c r="H44" s="3">
        <f t="shared" ca="1" si="0"/>
        <v>1.5926448002356344E-2</v>
      </c>
      <c r="I44" s="3">
        <f t="shared" ca="1" si="0"/>
        <v>-1.3967779391249041E-2</v>
      </c>
      <c r="K44" s="3">
        <f t="shared" ca="1" si="1"/>
        <v>1.1470360057893562E-2</v>
      </c>
      <c r="L44" s="3">
        <f t="shared" ca="1" si="2"/>
        <v>2.9894227393605387E-2</v>
      </c>
    </row>
    <row r="45" spans="2:12" x14ac:dyDescent="0.2">
      <c r="B45" vm="143">
        <f ca="1"/>
        <v>45323</v>
      </c>
      <c r="C45" vm="886">
        <f ca="1"/>
        <v>3.0293999999999999</v>
      </c>
      <c r="D45" vm="145">
        <f ca="1"/>
        <v>508.08</v>
      </c>
      <c r="E45" vm="146">
        <f ca="1"/>
        <v>97.875</v>
      </c>
      <c r="G45" s="3">
        <f t="shared" ca="1" si="0"/>
        <v>-0.49435839230871947</v>
      </c>
      <c r="H45" s="3">
        <f t="shared" ca="1" si="0"/>
        <v>5.2186878727634174E-2</v>
      </c>
      <c r="I45" s="3">
        <f t="shared" ca="1" si="0"/>
        <v>-5.6057866184448461E-2</v>
      </c>
      <c r="K45" s="3">
        <f t="shared" ca="1" si="1"/>
        <v>-0.43830052612427101</v>
      </c>
      <c r="L45" s="3">
        <f t="shared" ca="1" si="2"/>
        <v>0.10824474491208264</v>
      </c>
    </row>
    <row r="46" spans="2:12" x14ac:dyDescent="0.2">
      <c r="B46" vm="147">
        <f ca="1"/>
        <v>45352</v>
      </c>
      <c r="C46" vm="887">
        <f ca="1"/>
        <v>2.9542999999999999</v>
      </c>
      <c r="D46" vm="149">
        <f ca="1"/>
        <v>523.07000000000005</v>
      </c>
      <c r="E46" vm="150">
        <f ca="1"/>
        <v>98.468800000000002</v>
      </c>
      <c r="G46" s="3">
        <f t="shared" ca="1" si="0"/>
        <v>-2.4790387535485556E-2</v>
      </c>
      <c r="H46" s="3">
        <f t="shared" ca="1" si="0"/>
        <v>2.9503227838135856E-2</v>
      </c>
      <c r="I46" s="3">
        <f t="shared" ca="1" si="0"/>
        <v>6.0669220945083185E-3</v>
      </c>
      <c r="K46" s="3">
        <f t="shared" ca="1" si="1"/>
        <v>-3.0857309629993876E-2</v>
      </c>
      <c r="L46" s="3">
        <f t="shared" ca="1" si="2"/>
        <v>2.3436305743627539E-2</v>
      </c>
    </row>
    <row r="47" spans="2:12" x14ac:dyDescent="0.2">
      <c r="B47" vm="151">
        <f ca="1"/>
        <v>45383</v>
      </c>
      <c r="C47" vm="888">
        <f ca="1"/>
        <v>2.8264999999999998</v>
      </c>
      <c r="D47" vm="153">
        <f ca="1"/>
        <v>501.98</v>
      </c>
      <c r="E47" vm="154">
        <f ca="1"/>
        <v>94.6875</v>
      </c>
      <c r="G47" s="3">
        <f t="shared" ca="1" si="0"/>
        <v>-4.3258978438208757E-2</v>
      </c>
      <c r="H47" s="3">
        <f t="shared" ca="1" si="0"/>
        <v>-4.031965128950242E-2</v>
      </c>
      <c r="I47" s="3">
        <f t="shared" ca="1" si="0"/>
        <v>-3.8400996051541215E-2</v>
      </c>
      <c r="K47" s="3">
        <f t="shared" ca="1" si="1"/>
        <v>-4.857982386667542E-3</v>
      </c>
      <c r="L47" s="3">
        <f t="shared" ca="1" si="2"/>
        <v>-1.9186552379612046E-3</v>
      </c>
    </row>
    <row r="48" spans="2:12" x14ac:dyDescent="0.2">
      <c r="B48" vm="155">
        <f ca="1"/>
        <v>45413</v>
      </c>
      <c r="C48" vm="889">
        <f ca="1"/>
        <v>2.0447000000000002</v>
      </c>
      <c r="D48" vm="157">
        <f ca="1"/>
        <v>527.37</v>
      </c>
      <c r="E48" vm="158">
        <f ca="1"/>
        <v>98.984399999999994</v>
      </c>
      <c r="G48" s="3">
        <f t="shared" ca="1" si="0"/>
        <v>-0.27659649743499015</v>
      </c>
      <c r="H48" s="3">
        <f t="shared" ca="1" si="0"/>
        <v>5.0579704370692029E-2</v>
      </c>
      <c r="I48" s="3">
        <f t="shared" ca="1" si="0"/>
        <v>4.5379801980197955E-2</v>
      </c>
      <c r="K48" s="3">
        <f t="shared" ca="1" si="1"/>
        <v>-0.32197629941518813</v>
      </c>
      <c r="L48" s="3">
        <f t="shared" ca="1" si="2"/>
        <v>5.1999023904940739E-3</v>
      </c>
    </row>
    <row r="49" spans="2:12" x14ac:dyDescent="0.2">
      <c r="B49" vm="159">
        <f ca="1"/>
        <v>45444</v>
      </c>
      <c r="C49" vm="890">
        <f ca="1"/>
        <v>2.3603999999999998</v>
      </c>
      <c r="D49" vm="161">
        <f ca="1"/>
        <v>544.22</v>
      </c>
      <c r="E49" vm="162">
        <f ca="1"/>
        <v>99.671899999999994</v>
      </c>
      <c r="G49" s="3">
        <f t="shared" ca="1" si="0"/>
        <v>0.15439917836357392</v>
      </c>
      <c r="H49" s="3">
        <f t="shared" ca="1" si="0"/>
        <v>3.1951002142708199E-2</v>
      </c>
      <c r="I49" s="3">
        <f t="shared" ca="1" si="0"/>
        <v>6.9455388929972805E-3</v>
      </c>
      <c r="K49" s="3">
        <f t="shared" ca="1" si="1"/>
        <v>0.14745363947057663</v>
      </c>
      <c r="L49" s="3">
        <f t="shared" ca="1" si="2"/>
        <v>2.5005463249710917E-2</v>
      </c>
    </row>
    <row r="50" spans="2:12" x14ac:dyDescent="0.2">
      <c r="B50" vm="163">
        <f ca="1"/>
        <v>45474</v>
      </c>
      <c r="C50" vm="888">
        <f ca="1"/>
        <v>2.8264999999999998</v>
      </c>
      <c r="D50" vm="165">
        <f ca="1"/>
        <v>550.80999999999995</v>
      </c>
      <c r="E50" vm="166">
        <f ca="1"/>
        <v>102.5313</v>
      </c>
      <c r="G50" s="3">
        <f t="shared" ca="1" si="0"/>
        <v>0.19746653109642434</v>
      </c>
      <c r="H50" s="3">
        <f t="shared" ca="1" si="0"/>
        <v>1.210907353643732E-2</v>
      </c>
      <c r="I50" s="3">
        <f t="shared" ca="1" si="0"/>
        <v>2.8688125740554841E-2</v>
      </c>
      <c r="K50" s="3">
        <f t="shared" ca="1" si="1"/>
        <v>0.16877840535586949</v>
      </c>
      <c r="L50" s="3">
        <f t="shared" ca="1" si="2"/>
        <v>-1.6579052204117522E-2</v>
      </c>
    </row>
    <row r="51" spans="2:12" x14ac:dyDescent="0.2">
      <c r="B51" vm="167">
        <f ca="1"/>
        <v>45505</v>
      </c>
      <c r="C51" vm="891">
        <f ca="1"/>
        <v>1.4809000000000001</v>
      </c>
      <c r="D51" vm="169">
        <f ca="1"/>
        <v>563.67999999999995</v>
      </c>
      <c r="E51" vm="170">
        <f ca="1"/>
        <v>99.718800000000002</v>
      </c>
      <c r="G51" s="3">
        <f t="shared" ca="1" si="0"/>
        <v>-0.47606580576684937</v>
      </c>
      <c r="H51" s="3">
        <f t="shared" ca="1" si="0"/>
        <v>2.3365588860042495E-2</v>
      </c>
      <c r="I51" s="3">
        <f t="shared" ca="1" si="0"/>
        <v>-2.7430648006998837E-2</v>
      </c>
      <c r="K51" s="3">
        <f t="shared" ca="1" si="1"/>
        <v>-0.44863515775985052</v>
      </c>
      <c r="L51" s="3">
        <f t="shared" ca="1" si="2"/>
        <v>5.0796236867041336E-2</v>
      </c>
    </row>
    <row r="52" spans="2:12" x14ac:dyDescent="0.2">
      <c r="B52" vm="171">
        <f ca="1"/>
        <v>45536</v>
      </c>
      <c r="C52" vm="892">
        <f ca="1"/>
        <v>1.6876</v>
      </c>
      <c r="D52" vm="173">
        <f ca="1"/>
        <v>573.76</v>
      </c>
      <c r="E52" vm="174">
        <f ca="1"/>
        <v>100.79689999999999</v>
      </c>
      <c r="G52" s="3">
        <f t="shared" ca="1" si="0"/>
        <v>0.13957728408400288</v>
      </c>
      <c r="H52" s="3">
        <f t="shared" ca="1" si="0"/>
        <v>1.7882486517172939E-2</v>
      </c>
      <c r="I52" s="3">
        <f t="shared" ca="1" si="0"/>
        <v>1.081140166147198E-2</v>
      </c>
      <c r="K52" s="3">
        <f t="shared" ca="1" si="1"/>
        <v>0.1287658824225309</v>
      </c>
      <c r="L52" s="3">
        <f t="shared" ca="1" si="2"/>
        <v>7.0710848557009598E-3</v>
      </c>
    </row>
    <row r="53" spans="2:12" x14ac:dyDescent="0.2">
      <c r="B53" vm="175">
        <f ca="1"/>
        <v>45566</v>
      </c>
      <c r="C53" vm="893">
        <f ca="1"/>
        <v>2.5219999999999998</v>
      </c>
      <c r="D53" vm="177">
        <f ca="1"/>
        <v>568.64</v>
      </c>
      <c r="E53" vm="178">
        <f ca="1"/>
        <v>96.718800000000002</v>
      </c>
      <c r="G53" s="3">
        <f t="shared" ca="1" si="0"/>
        <v>0.49442995970609138</v>
      </c>
      <c r="H53" s="3">
        <f t="shared" ca="1" si="0"/>
        <v>-8.9235917456776427E-3</v>
      </c>
      <c r="I53" s="3">
        <f t="shared" ca="1" si="0"/>
        <v>-4.0458585531896241E-2</v>
      </c>
      <c r="K53" s="3">
        <f t="shared" ca="1" si="1"/>
        <v>0.53488854523798768</v>
      </c>
      <c r="L53" s="3">
        <f t="shared" ca="1" si="2"/>
        <v>3.1534993786218601E-2</v>
      </c>
    </row>
    <row r="54" spans="2:12" x14ac:dyDescent="0.2">
      <c r="B54" vm="179">
        <f ca="1"/>
        <v>45597</v>
      </c>
      <c r="C54" vm="894">
        <f ca="1"/>
        <v>1.5034000000000001</v>
      </c>
      <c r="D54" vm="181">
        <f ca="1"/>
        <v>602.54999999999995</v>
      </c>
      <c r="E54" vm="182">
        <f ca="1"/>
        <v>100.57810000000001</v>
      </c>
      <c r="G54" s="3">
        <f t="shared" ca="1" si="0"/>
        <v>-0.40388580491673265</v>
      </c>
      <c r="H54" s="3">
        <f t="shared" ca="1" si="0"/>
        <v>5.9633511536297076E-2</v>
      </c>
      <c r="I54" s="3">
        <f t="shared" ca="1" si="0"/>
        <v>3.990227339462446E-2</v>
      </c>
      <c r="K54" s="3">
        <f t="shared" ca="1" si="1"/>
        <v>-0.44378807831135714</v>
      </c>
      <c r="L54" s="3">
        <f t="shared" ca="1" si="2"/>
        <v>1.9731238141672616E-2</v>
      </c>
    </row>
    <row r="55" spans="2:12" x14ac:dyDescent="0.2">
      <c r="B55" vm="183">
        <f ca="1"/>
        <v>45627</v>
      </c>
      <c r="C55" vm="895">
        <f ca="1"/>
        <v>1.6613</v>
      </c>
      <c r="D55" vm="185">
        <f ca="1"/>
        <v>586.08000000000004</v>
      </c>
      <c r="E55" vm="186">
        <f ca="1"/>
        <v>97.453100000000006</v>
      </c>
      <c r="G55" s="3">
        <f t="shared" ca="1" si="0"/>
        <v>0.10502860183583872</v>
      </c>
      <c r="H55" s="3">
        <f t="shared" ca="1" si="0"/>
        <v>-2.7333831217326222E-2</v>
      </c>
      <c r="I55" s="3">
        <f t="shared" ca="1" si="0"/>
        <v>-3.1070382120958737E-2</v>
      </c>
      <c r="K55" s="3">
        <f t="shared" ca="1" si="1"/>
        <v>0.13609898395679745</v>
      </c>
      <c r="L55" s="3">
        <f t="shared" ca="1" si="2"/>
        <v>3.7365509036325142E-3</v>
      </c>
    </row>
    <row r="56" spans="2:12" x14ac:dyDescent="0.2">
      <c r="B56" vm="187">
        <f ca="1"/>
        <v>45658</v>
      </c>
      <c r="C56" vm="896">
        <f ca="1"/>
        <v>1.4132</v>
      </c>
      <c r="D56" vm="189">
        <f ca="1"/>
        <v>601.82000000000005</v>
      </c>
      <c r="E56" vm="30">
        <f ca="1"/>
        <v>97.703100000000006</v>
      </c>
      <c r="G56" s="3">
        <f t="shared" ca="1" si="0"/>
        <v>-0.14934087762595558</v>
      </c>
      <c r="H56" s="3">
        <f t="shared" ca="1" si="0"/>
        <v>2.6856401856401872E-2</v>
      </c>
      <c r="I56" s="3">
        <f t="shared" ca="1" si="0"/>
        <v>2.5653365567642281E-3</v>
      </c>
      <c r="K56" s="3">
        <f t="shared" ca="1" si="1"/>
        <v>-0.1519062141827198</v>
      </c>
      <c r="L56" s="3">
        <f t="shared" ca="1" si="2"/>
        <v>2.4291065299637642E-2</v>
      </c>
    </row>
    <row r="57" spans="2:12" x14ac:dyDescent="0.2">
      <c r="B57" vm="190">
        <f ca="1"/>
        <v>45689</v>
      </c>
      <c r="C57" vm="897">
        <f ca="1"/>
        <v>1.2178</v>
      </c>
      <c r="D57" vm="192">
        <f ca="1"/>
        <v>594.17999999999995</v>
      </c>
      <c r="E57" vm="193">
        <f ca="1"/>
        <v>103.4063</v>
      </c>
      <c r="G57" s="3">
        <f t="shared" ca="1" si="0"/>
        <v>-0.13826776110953864</v>
      </c>
      <c r="H57" s="3">
        <f t="shared" ca="1" si="0"/>
        <v>-1.2694825695390814E-2</v>
      </c>
      <c r="I57" s="3">
        <f t="shared" ca="1" si="0"/>
        <v>5.8372764016699524E-2</v>
      </c>
      <c r="K57" s="3">
        <f t="shared" ca="1" si="1"/>
        <v>-0.19664052512623817</v>
      </c>
      <c r="L57" s="3">
        <f t="shared" ca="1" si="2"/>
        <v>-7.1067589712090345E-2</v>
      </c>
    </row>
    <row r="58" spans="2:12" x14ac:dyDescent="0.2">
      <c r="B58" vm="194">
        <f ca="1"/>
        <v>45717</v>
      </c>
      <c r="C58" vm="898">
        <f ca="1"/>
        <v>2.2250999999999999</v>
      </c>
      <c r="D58" vm="195">
        <f ca="1"/>
        <v>559.39</v>
      </c>
      <c r="E58" vm="196">
        <f ca="1"/>
        <v>103.32810000000001</v>
      </c>
      <c r="G58" s="3">
        <f t="shared" ca="1" si="0"/>
        <v>0.82714731483002124</v>
      </c>
      <c r="H58" s="3">
        <f t="shared" ca="1" si="0"/>
        <v>-5.8551280756673006E-2</v>
      </c>
      <c r="I58" s="3">
        <f t="shared" ca="1" si="0"/>
        <v>-7.5624019039454446E-4</v>
      </c>
      <c r="K58" s="3">
        <f t="shared" ca="1" si="1"/>
        <v>0.82790355502041579</v>
      </c>
      <c r="L58" s="3">
        <f t="shared" ca="1" si="2"/>
        <v>-5.7795040566278461E-2</v>
      </c>
    </row>
    <row r="59" spans="2:12" x14ac:dyDescent="0.2">
      <c r="B59" vm="197">
        <f ca="1"/>
        <v>45748</v>
      </c>
      <c r="C59" vm="899">
        <f ca="1"/>
        <v>1.5109999999999999</v>
      </c>
      <c r="D59" vm="199">
        <f ca="1"/>
        <v>554.54</v>
      </c>
      <c r="E59" vm="200">
        <f ca="1"/>
        <v>103.5313</v>
      </c>
      <c r="G59" s="3">
        <f t="shared" ca="1" si="0"/>
        <v>-0.32092939643162105</v>
      </c>
      <c r="H59" s="3">
        <f t="shared" ca="1" si="0"/>
        <v>-8.6701585655804044E-3</v>
      </c>
      <c r="I59" s="3">
        <f t="shared" ca="1" si="0"/>
        <v>1.9665512092063571E-3</v>
      </c>
      <c r="K59" s="3">
        <f t="shared" ca="1" si="1"/>
        <v>-0.32289594764082741</v>
      </c>
      <c r="L59" s="3">
        <f t="shared" ca="1" si="2"/>
        <v>-1.0636709774786762E-2</v>
      </c>
    </row>
    <row r="60" spans="2:12" x14ac:dyDescent="0.2">
      <c r="B60" vm="201">
        <f ca="1"/>
        <v>45778</v>
      </c>
      <c r="C60" vm="900">
        <f ca="1"/>
        <v>1.6688000000000001</v>
      </c>
      <c r="D60" vm="203">
        <f ca="1"/>
        <v>589.39</v>
      </c>
      <c r="E60" vm="204">
        <f ca="1"/>
        <v>98.8125</v>
      </c>
      <c r="G60" s="3">
        <f t="shared" ca="1" si="0"/>
        <v>0.10443414956982143</v>
      </c>
      <c r="H60" s="3">
        <f t="shared" ca="1" si="0"/>
        <v>6.284488044144701E-2</v>
      </c>
      <c r="I60" s="3">
        <f t="shared" ca="1" si="0"/>
        <v>-4.5578486892369763E-2</v>
      </c>
      <c r="K60" s="3">
        <f t="shared" ca="1" si="1"/>
        <v>0.15001263646219121</v>
      </c>
      <c r="L60" s="3">
        <f t="shared" ca="1" si="2"/>
        <v>0.10842336733381677</v>
      </c>
    </row>
    <row r="61" spans="2:12" x14ac:dyDescent="0.2">
      <c r="B61" vm="205">
        <f ca="1"/>
        <v>45809</v>
      </c>
      <c r="C61" vm="901">
        <f ca="1"/>
        <v>2.2101000000000002</v>
      </c>
      <c r="D61" vm="207">
        <f ca="1"/>
        <v>617.85</v>
      </c>
      <c r="E61" vm="15">
        <f ca="1"/>
        <v>100.14060000000001</v>
      </c>
      <c r="G61" s="3">
        <f t="shared" ca="1" si="0"/>
        <v>0.32436481303930975</v>
      </c>
      <c r="H61" s="3">
        <f t="shared" ca="1" si="0"/>
        <v>4.828721220244666E-2</v>
      </c>
      <c r="I61" s="3">
        <f t="shared" ca="1" si="0"/>
        <v>1.3440607210626249E-2</v>
      </c>
      <c r="K61" s="3">
        <f t="shared" ca="1" si="1"/>
        <v>0.31092420582868352</v>
      </c>
      <c r="L61" s="3">
        <f t="shared" ca="1" si="2"/>
        <v>3.4846604991820407E-2</v>
      </c>
    </row>
    <row r="62" spans="2:12" x14ac:dyDescent="0.2">
      <c r="B62" vm="208">
        <f ca="1"/>
        <v>45839</v>
      </c>
      <c r="C62" vm="902">
        <f ca="1"/>
        <v>2.2475999999999998</v>
      </c>
      <c r="D62" vm="210">
        <f ca="1"/>
        <v>632.08000000000004</v>
      </c>
      <c r="E62" vm="211">
        <f ca="1"/>
        <v>98.953100000000006</v>
      </c>
      <c r="G62" s="3">
        <f t="shared" ca="1" si="0"/>
        <v>1.6967558029048296E-2</v>
      </c>
      <c r="H62" s="3">
        <f t="shared" ca="1" si="0"/>
        <v>2.3031480132718326E-2</v>
      </c>
      <c r="I62" s="3">
        <f t="shared" ca="1" si="0"/>
        <v>-1.1858327191968093E-2</v>
      </c>
      <c r="K62" s="3">
        <f t="shared" ca="1" si="1"/>
        <v>2.8825885221016388E-2</v>
      </c>
      <c r="L62" s="3">
        <f t="shared" ca="1" si="2"/>
        <v>3.4889807324686418E-2</v>
      </c>
    </row>
    <row r="63" spans="2:12" x14ac:dyDescent="0.2">
      <c r="B63" vm="212">
        <f ca="1"/>
        <v>45870</v>
      </c>
      <c r="C63" vm="902">
        <f ca="1"/>
        <v>2.2475999999999998</v>
      </c>
      <c r="D63" vm="214">
        <f ca="1"/>
        <v>645.04999999999995</v>
      </c>
      <c r="E63" vm="15">
        <f ca="1"/>
        <v>100.14060000000001</v>
      </c>
      <c r="G63" s="3">
        <f t="shared" ca="1" si="0"/>
        <v>0</v>
      </c>
      <c r="H63" s="3">
        <f t="shared" ca="1" si="0"/>
        <v>2.051955448677369E-2</v>
      </c>
      <c r="I63" s="3">
        <f t="shared" ca="1" si="0"/>
        <v>1.2000634644088966E-2</v>
      </c>
      <c r="K63" s="3">
        <f t="shared" ca="1" si="1"/>
        <v>-1.2000634644088966E-2</v>
      </c>
      <c r="L63" s="3">
        <f t="shared" ca="1" si="2"/>
        <v>8.5189198426847239E-3</v>
      </c>
    </row>
    <row r="64" spans="2:12" x14ac:dyDescent="0.2">
      <c r="B64" vm="215">
        <f ca="1"/>
        <v>45901</v>
      </c>
      <c r="C64" vm="903">
        <f ca="1"/>
        <v>1.8492</v>
      </c>
      <c r="D64" vm="217">
        <f ca="1"/>
        <v>666.18</v>
      </c>
      <c r="E64" vm="218">
        <f ca="1"/>
        <v>100.75</v>
      </c>
      <c r="G64" s="3">
        <f t="shared" ca="1" si="0"/>
        <v>-0.17725573945541906</v>
      </c>
      <c r="H64" s="3">
        <f t="shared" ca="1" si="0"/>
        <v>3.275715060847996E-2</v>
      </c>
      <c r="I64" s="3">
        <f t="shared" ca="1" si="0"/>
        <v>6.085443865924447E-3</v>
      </c>
      <c r="K64" s="3">
        <f t="shared" ca="1" si="1"/>
        <v>-0.1833411833213435</v>
      </c>
      <c r="L64" s="3">
        <f t="shared" ca="1" si="2"/>
        <v>2.6671706742555513E-2</v>
      </c>
    </row>
    <row r="65" spans="2:12" x14ac:dyDescent="0.2">
      <c r="B65" vm="219">
        <f ca="1"/>
        <v>45931</v>
      </c>
      <c r="C65" vm="904">
        <f ca="1"/>
        <v>1.8267</v>
      </c>
      <c r="D65" vm="221">
        <f ca="1"/>
        <v>682.06</v>
      </c>
      <c r="E65" vm="222">
        <f ca="1"/>
        <v>101.32810000000001</v>
      </c>
      <c r="G65" s="3">
        <f t="shared" ca="1" si="0"/>
        <v>-1.2167423750811143E-2</v>
      </c>
      <c r="H65" s="3">
        <f t="shared" ca="1" si="0"/>
        <v>2.3837401302951148E-2</v>
      </c>
      <c r="I65" s="3">
        <f t="shared" ca="1" si="0"/>
        <v>5.7379652605459679E-3</v>
      </c>
      <c r="K65" s="3">
        <f t="shared" ca="1" si="1"/>
        <v>-1.790538901135711E-2</v>
      </c>
      <c r="L65" s="3">
        <f t="shared" ca="1" si="2"/>
        <v>1.809943604240518E-2</v>
      </c>
    </row>
    <row r="66" spans="2:12" x14ac:dyDescent="0.2">
      <c r="B66" vm="223">
        <f ca="1"/>
        <v>45962</v>
      </c>
      <c r="C66" vm="905">
        <f ca="1"/>
        <v>3.1798000000000002</v>
      </c>
      <c r="D66" vm="225">
        <f ca="1"/>
        <v>683.39</v>
      </c>
      <c r="E66" vm="226">
        <f ca="1"/>
        <v>99.859399999999994</v>
      </c>
      <c r="G66" s="3">
        <f t="shared" ca="1" si="0"/>
        <v>0.7407346581266766</v>
      </c>
      <c r="H66" s="3">
        <f t="shared" ca="1" si="0"/>
        <v>1.9499750755066138E-3</v>
      </c>
      <c r="I66" s="3">
        <f t="shared" ca="1" si="0"/>
        <v>-1.4494498564564149E-2</v>
      </c>
      <c r="K66" s="3">
        <f t="shared" ca="1" si="1"/>
        <v>0.7552291566912408</v>
      </c>
      <c r="L66" s="3">
        <f t="shared" ca="1" si="2"/>
        <v>1.6444473640070761E-2</v>
      </c>
    </row>
    <row r="67" spans="2:12" x14ac:dyDescent="0.2">
      <c r="B67" vm="227">
        <f ca="1"/>
        <v>45992</v>
      </c>
      <c r="C67" vm="906">
        <f ca="1"/>
        <v>3.99</v>
      </c>
      <c r="D67" vm="229">
        <f ca="1"/>
        <v>681.92</v>
      </c>
      <c r="E67" vm="230">
        <f ca="1"/>
        <v>98.6875</v>
      </c>
      <c r="G67" s="3">
        <f t="shared" ca="1" si="0"/>
        <v>0.25479589911315176</v>
      </c>
      <c r="H67" s="3">
        <f t="shared" ca="1" si="0"/>
        <v>-2.151041133174362E-3</v>
      </c>
      <c r="I67" s="3">
        <f t="shared" ca="1" si="0"/>
        <v>-1.1735500113159039E-2</v>
      </c>
      <c r="K67" s="3">
        <f t="shared" ca="1" si="1"/>
        <v>0.26653139922631081</v>
      </c>
      <c r="L67" s="3">
        <f t="shared" ca="1" si="2"/>
        <v>9.5844589799846773E-3</v>
      </c>
    </row>
    <row r="68" spans="2:12" x14ac:dyDescent="0.2">
      <c r="B68" vm="231">
        <f ca="1"/>
        <v>46023</v>
      </c>
      <c r="C68" vm="785">
        <f ca="1"/>
        <v>3.35</v>
      </c>
      <c r="D68" vm="233">
        <f ca="1"/>
        <v>691.97</v>
      </c>
      <c r="E68" vm="234">
        <f ca="1"/>
        <v>98.078100000000006</v>
      </c>
      <c r="G68" s="3">
        <f t="shared" ca="1" si="0"/>
        <v>-0.16040100250626568</v>
      </c>
      <c r="H68" s="3">
        <f t="shared" ca="1" si="0"/>
        <v>1.4737799155326239E-2</v>
      </c>
      <c r="I68" s="3">
        <f t="shared" ca="1" si="0"/>
        <v>-6.1750474984166555E-3</v>
      </c>
      <c r="K68" s="3">
        <f t="shared" ca="1" si="1"/>
        <v>-0.15422595500784902</v>
      </c>
      <c r="L68" s="3">
        <f t="shared" ca="1" si="2"/>
        <v>2.0912846653742895E-2</v>
      </c>
    </row>
    <row r="69" spans="2:12" x14ac:dyDescent="0.2">
      <c r="B69" vm="235">
        <f ca="1"/>
        <v>46054</v>
      </c>
      <c r="C69" vm="907">
        <f ca="1"/>
        <v>4.1500000000000004</v>
      </c>
      <c r="D69" vm="237">
        <f ca="1"/>
        <v>685.99</v>
      </c>
      <c r="E69" vm="238">
        <f ca="1"/>
        <v>101.4375</v>
      </c>
      <c r="G69" s="3">
        <f t="shared" ca="1" si="0"/>
        <v>0.23880597014925381</v>
      </c>
      <c r="H69" s="3">
        <f t="shared" ca="1" si="0"/>
        <v>-8.6419931499920784E-3</v>
      </c>
      <c r="I69" s="3">
        <f t="shared" ca="1" si="0"/>
        <v>3.4252294854814617E-2</v>
      </c>
      <c r="K69" s="3">
        <f t="shared" ca="1" si="1"/>
        <v>0.20455367529443919</v>
      </c>
      <c r="L69" s="3">
        <f t="shared" ca="1" si="2"/>
        <v>-4.2894288004806699E-2</v>
      </c>
    </row>
    <row r="70" spans="2:12" x14ac:dyDescent="0.2">
      <c r="B70" vm="239">
        <f ca="1"/>
        <v>46082</v>
      </c>
      <c r="C70" vm="786">
        <f ca="1"/>
        <v>3.97</v>
      </c>
      <c r="D70" vm="241">
        <f ca="1"/>
        <v>662.29</v>
      </c>
      <c r="E70" vm="242">
        <f ca="1"/>
        <v>98.734399999999994</v>
      </c>
      <c r="G70" s="3">
        <f t="shared" ca="1" si="0"/>
        <v>-4.3373493975903649E-2</v>
      </c>
      <c r="H70" s="3">
        <f t="shared" ca="1" si="0"/>
        <v>-3.4548608580300073E-2</v>
      </c>
      <c r="I70" s="3">
        <f t="shared" ca="1" si="0"/>
        <v>-2.6647935921133764E-2</v>
      </c>
      <c r="K70" s="3">
        <f t="shared" ca="1" si="1"/>
        <v>-1.6725558054769885E-2</v>
      </c>
      <c r="L70" s="3">
        <f t="shared" ca="1" si="2"/>
        <v>-7.9006726591663093E-3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22</vt:i4>
      </vt:variant>
      <vt:variant>
        <vt:lpstr>Named Ranges</vt:lpstr>
      </vt:variant>
      <vt:variant>
        <vt:i4>11</vt:i4>
      </vt:variant>
    </vt:vector>
  </HeadingPairs>
  <TitlesOfParts>
    <vt:vector size="33" baseType="lpstr">
      <vt:lpstr>Assumptions</vt:lpstr>
      <vt:lpstr>1a. Historical Beta</vt:lpstr>
      <vt:lpstr>Comps List</vt:lpstr>
      <vt:lpstr>1b. Comps Analysis</vt:lpstr>
      <vt:lpstr>1c. Sector Based Comps Analysis</vt:lpstr>
      <vt:lpstr>2. Calculating Cost of Equity</vt:lpstr>
      <vt:lpstr>US Rev Multiplies</vt:lpstr>
      <vt:lpstr>Global Rev Multiplies</vt:lpstr>
      <vt:lpstr>MRP Historical</vt:lpstr>
      <vt:lpstr>MRP Scenario Analysis</vt:lpstr>
      <vt:lpstr>TEGNA Equity Beta</vt:lpstr>
      <vt:lpstr>AMZN Equity Beta</vt:lpstr>
      <vt:lpstr>COST Equity Beta</vt:lpstr>
      <vt:lpstr>MSFT Equity Beta</vt:lpstr>
      <vt:lpstr>ORCL Equity Beta</vt:lpstr>
      <vt:lpstr>WMT Equity Beta</vt:lpstr>
      <vt:lpstr>MELI Equity Beta</vt:lpstr>
      <vt:lpstr>BABA Equity Beta</vt:lpstr>
      <vt:lpstr>NXST Comp Equity Beta</vt:lpstr>
      <vt:lpstr>GTN Comp Equity Beta</vt:lpstr>
      <vt:lpstr>SGBI Comp Equity Beta</vt:lpstr>
      <vt:lpstr>SSB Comp Equity Beta</vt:lpstr>
      <vt:lpstr>amznbeta</vt:lpstr>
      <vt:lpstr>amznse</vt:lpstr>
      <vt:lpstr>beta1b</vt:lpstr>
      <vt:lpstr>beta1c</vt:lpstr>
      <vt:lpstr>MRP</vt:lpstr>
      <vt:lpstr>MRPSE</vt:lpstr>
      <vt:lpstr>RF</vt:lpstr>
      <vt:lpstr>Scalar</vt:lpstr>
      <vt:lpstr>SMRP</vt:lpstr>
      <vt:lpstr>SMRPH</vt:lpstr>
      <vt:lpstr>SMRPL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Dat Phan</dc:creator>
  <cp:keywords/>
  <dc:description/>
  <cp:lastModifiedBy>Vuong, Dat B</cp:lastModifiedBy>
  <cp:revision/>
  <cp:lastPrinted>2026-03-15T18:56:01Z</cp:lastPrinted>
  <dcterms:created xsi:type="dcterms:W3CDTF">2026-03-12T20:25:19Z</dcterms:created>
  <dcterms:modified xsi:type="dcterms:W3CDTF">2026-03-15T19:45:20Z</dcterms:modified>
  <cp:category/>
  <cp:contentStatus/>
</cp:coreProperties>
</file>